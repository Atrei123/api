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Допущения" sheetId="2" state="visible" r:id="rId4"/>
    <sheet name="Рынок" sheetId="3" state="visible" r:id="rId5"/>
    <sheet name="Площадки" sheetId="4" state="visible" r:id="rId6"/>
    <sheet name="Категории" sheetId="5" state="visible" r:id="rId7"/>
    <sheet name="Финансирование" sheetId="6" state="visible" r:id="rId8"/>
    <sheet name="История" sheetId="7" state="visible" r:id="rId9"/>
    <sheet name="Партнёры" sheetId="8" state="visible" r:id="rId10"/>
    <sheet name="Источники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8" authorId="0">
      <text>
        <r>
          <rPr>
            <sz val="10"/>
            <rFont val="Arial"/>
            <family val="2"/>
          </rPr>
          <t xml:space="preserve">Forbes.kz, карточка «Kaspi Магазин», рейтинг 50 крупнейших торговых интернет-площадок — 2026: $4 735,5 млн (+5,4%).</t>
        </r>
      </text>
    </comment>
    <comment ref="B29" authorId="0">
      <text>
        <r>
          <rPr>
            <sz val="10"/>
            <rFont val="Arial"/>
            <family val="2"/>
          </rPr>
          <t xml:space="preserve">Forbes.kz, карточка wildberries.kz, рейтинг 2026: $601,7 млн.</t>
        </r>
      </text>
    </comment>
    <comment ref="B30" authorId="0">
      <text>
        <r>
          <rPr>
            <sz val="10"/>
            <rFont val="Arial"/>
            <family val="2"/>
          </rPr>
          <t xml:space="preserve">Forbes.kz, карточка ozon.kz, рейтинг 2026: $195,3 млн (+5,1%).</t>
        </r>
      </text>
    </comment>
    <comment ref="B31" authorId="0">
      <text>
        <r>
          <rPr>
            <sz val="10"/>
            <rFont val="Arial"/>
            <family val="2"/>
          </rPr>
          <t xml:space="preserve">Forbes.kz, карточка Halyk Market, рейтинг 2026: $237,0 млн (+10,6%).</t>
        </r>
      </text>
    </comment>
    <comment ref="C7" authorId="0">
      <text>
        <r>
          <rPr>
            <sz val="10"/>
            <rFont val="Arial"/>
            <family val="2"/>
          </rPr>
          <t xml:space="preserve">Mastercard, «Исследование рынка розничного e-commerce в Казахстане», август 2026: 4,92 трлн ₸.</t>
        </r>
      </text>
    </comment>
    <comment ref="C8" authorId="0">
      <text>
        <r>
          <rPr>
            <sz val="10"/>
            <rFont val="Arial"/>
            <family val="2"/>
          </rPr>
          <t xml:space="preserve">Mastercard, август 2026: внутренний сегмент — 77% рынка в 2025 году.</t>
        </r>
      </text>
    </comment>
    <comment ref="C9" authorId="0">
      <text>
        <r>
          <rPr>
            <sz val="10"/>
            <rFont val="Arial"/>
            <family val="2"/>
          </rPr>
          <t xml:space="preserve">БНС АСПиР РК, «Об электронной коммерции в РК (2025)»: 3 768,8 млрд ₸ (с учётом маркетплейсов).</t>
        </r>
      </text>
    </comment>
    <comment ref="C10" authorId="0">
      <text>
        <r>
          <rPr>
            <sz val="10"/>
            <rFont val="Arial"/>
            <family val="2"/>
          </rPr>
          <t xml:space="preserve">БНС АСПиР РК, 2025: 14,3%.</t>
        </r>
      </text>
    </comment>
    <comment ref="C12" authorId="0">
      <text>
        <r>
          <rPr>
            <sz val="10"/>
            <rFont val="Arial"/>
            <family val="2"/>
          </rPr>
          <t xml:space="preserve">Допущение модели: ~9% номинального роста розничной торговли в год (инфляция + реальный рост). Меняйте при необходимости.</t>
        </r>
      </text>
    </comment>
    <comment ref="C13" authorId="0">
      <text>
        <r>
          <rPr>
            <sz val="10"/>
            <rFont val="Arial"/>
            <family val="2"/>
          </rPr>
          <t xml:space="preserve">БНС АСПиР РК, 2025: 3 237,5 млрд ₸ (86%).</t>
        </r>
      </text>
    </comment>
    <comment ref="C15" authorId="0">
      <text>
        <r>
          <rPr>
            <sz val="10"/>
            <rFont val="Arial"/>
            <family val="2"/>
          </rPr>
          <t xml:space="preserve">Расчёт по Baker Tilly (сент. 2026): 4 313 млрд ₸ = $8,27 млрд → ≈521,5 ₸/$.</t>
        </r>
      </text>
    </comment>
    <comment ref="C16" authorId="0">
      <text>
        <r>
          <rPr>
            <sz val="10"/>
            <rFont val="Arial"/>
            <family val="2"/>
          </rPr>
          <t xml:space="preserve">Inbusiness.kz / БНС: более 291 млн заказов на маркетплейсах в 2025 году.</t>
        </r>
      </text>
    </comment>
    <comment ref="C21" authorId="0">
      <text>
        <r>
          <rPr>
            <sz val="10"/>
            <rFont val="Arial"/>
            <family val="2"/>
          </rPr>
          <t xml:space="preserve">Допущение: замедление из-за ужесточения кредита, НДС 16%.</t>
        </r>
      </text>
    </comment>
    <comment ref="C22" authorId="0">
      <text>
        <r>
          <rPr>
            <sz val="10"/>
            <rFont val="Arial"/>
            <family val="2"/>
          </rPr>
          <t xml:space="preserve">Допущение: тормоз от пошлины 5% + НДС 16% на посылки &gt; €200 с 01.07.2026.</t>
        </r>
      </text>
    </comment>
    <comment ref="C23" authorId="0">
      <text>
        <r>
          <rPr>
            <sz val="10"/>
            <rFont val="Arial"/>
            <family val="2"/>
          </rPr>
          <t xml:space="preserve">Допущение модели.</t>
        </r>
      </text>
    </comment>
    <comment ref="C28" authorId="0">
      <text>
        <r>
          <rPr>
            <sz val="10"/>
            <rFont val="Arial"/>
            <family val="2"/>
          </rPr>
          <t xml:space="preserve">Допущение модели (диапазон роста онлайн-продаж в ₸). См. раздел 4 отчёта kz-ecommerce-market-potential.md.</t>
        </r>
      </text>
    </comment>
    <comment ref="C29" authorId="0">
      <text>
        <r>
          <rPr>
            <sz val="10"/>
            <rFont val="Arial"/>
            <family val="2"/>
          </rPr>
          <t xml:space="preserve">Допущение модели (диапазон роста онлайн-продаж в ₸). См. раздел 4 отчёта kz-ecommerce-market-potential.md.</t>
        </r>
      </text>
    </comment>
    <comment ref="C30" authorId="0">
      <text>
        <r>
          <rPr>
            <sz val="10"/>
            <rFont val="Arial"/>
            <family val="2"/>
          </rPr>
          <t xml:space="preserve">Допущение модели (диапазон роста онлайн-продаж в ₸). См. раздел 4 отчёта kz-ecommerce-market-potential.md.</t>
        </r>
      </text>
    </comment>
    <comment ref="C31" authorId="0">
      <text>
        <r>
          <rPr>
            <sz val="10"/>
            <rFont val="Arial"/>
            <family val="2"/>
          </rPr>
          <t xml:space="preserve">Допущение модели (диапазон роста онлайн-продаж в ₸). См. раздел 4 отчёта kz-ecommerce-market-potential.md.</t>
        </r>
      </text>
    </comment>
    <comment ref="C35" authorId="0">
      <text>
        <r>
          <rPr>
            <sz val="10"/>
            <rFont val="Arial"/>
            <family val="2"/>
          </rPr>
          <t xml:space="preserve">Допущение для сопоставления: фактическая доля рассрочки в e-commerce не публикуется.</t>
        </r>
      </text>
    </comment>
    <comment ref="D21" authorId="0">
      <text>
        <r>
          <rPr>
            <sz val="10"/>
            <rFont val="Arial"/>
            <family val="2"/>
          </rPr>
          <t xml:space="preserve">Формула: калибровка под Mastercard (11,1 трлн ₸, 32% трансгр. в 2030).</t>
        </r>
      </text>
    </comment>
    <comment ref="D22" authorId="0">
      <text>
        <r>
          <rPr>
            <sz val="10"/>
            <rFont val="Arial"/>
            <family val="2"/>
          </rPr>
          <t xml:space="preserve">Формула: калибровка под Mastercard.</t>
        </r>
      </text>
    </comment>
    <comment ref="D23" authorId="0">
      <text>
        <r>
          <rPr>
            <sz val="10"/>
            <rFont val="Arial"/>
            <family val="2"/>
          </rPr>
          <t xml:space="preserve">Допущение модели: чек падает, частота растёт (транзакции ×3 за 2023–2025).</t>
        </r>
      </text>
    </comment>
    <comment ref="E21" authorId="0">
      <text>
        <r>
          <rPr>
            <sz val="10"/>
            <rFont val="Arial"/>
            <family val="2"/>
          </rPr>
          <t xml:space="preserve">Допущение: выход на цель Минторговли — 20% e-commerce в рознице к 2030.</t>
        </r>
      </text>
    </comment>
    <comment ref="E22" authorId="0">
      <text>
        <r>
          <rPr>
            <sz val="10"/>
            <rFont val="Arial"/>
            <family val="2"/>
          </rPr>
          <t xml:space="preserve">Допущение: ускоренный рост трансграничной торговли.</t>
        </r>
      </text>
    </comment>
    <comment ref="E23" authorId="0">
      <text>
        <r>
          <rPr>
            <sz val="10"/>
            <rFont val="Arial"/>
            <family val="2"/>
          </rPr>
          <t xml:space="preserve">Допущение модели.</t>
        </r>
      </text>
    </comment>
    <comment ref="H18" authorId="0">
      <text>
        <r>
          <rPr>
            <sz val="10"/>
            <rFont val="Arial"/>
            <family val="2"/>
          </rPr>
          <t xml:space="preserve">Mastercard, август 2026: до 11,1 трлн ₸ к 2030 году.</t>
        </r>
      </text>
    </comment>
    <comment ref="H19" authorId="0">
      <text>
        <r>
          <rPr>
            <sz val="10"/>
            <rFont val="Arial"/>
            <family val="2"/>
          </rPr>
          <t xml:space="preserve">Mastercard, август 2026: доля трансграничного сегмента ~32% в 2030 году.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БНС АСПиР РК, «Об электронной коммерции в РК (2025)».</t>
        </r>
      </text>
    </comment>
    <comment ref="D4" authorId="0">
      <text>
        <r>
          <rPr>
            <sz val="10"/>
            <rFont val="Arial"/>
            <family val="2"/>
          </rPr>
          <t xml:space="preserve">По умолчанию равна доле 2025 года. Можно заменить числом (например, 0,90).</t>
        </r>
      </text>
    </comment>
    <comment ref="D6" authorId="0">
      <text>
        <r>
          <rPr>
            <sz val="10"/>
            <rFont val="Arial"/>
            <family val="2"/>
          </rPr>
          <t xml:space="preserve">По умолчанию = доле 2025. Впишите свою долю 2030, чтобы смоделировать сдвиг структуры.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БНС АСПиР РК, «Об электронной коммерции в РК (2025)».</t>
        </r>
      </text>
    </comment>
  </commentList>
</comments>
</file>

<file path=xl/sharedStrings.xml><?xml version="1.0" encoding="utf-8"?>
<sst xmlns="http://schemas.openxmlformats.org/spreadsheetml/2006/main" count="262" uniqueCount="201">
  <si>
    <t xml:space="preserve">Рынок маркетплейсов Казахстана: потенциал продаж до 2030 года</t>
  </si>
  <si>
    <t xml:space="preserve">Сценарий меняется на листе «Допущения», ячейка C3. Все цифры — млрд ₸, если не указано иное.</t>
  </si>
  <si>
    <t xml:space="preserve">Выбранный сценарий</t>
  </si>
  <si>
    <t xml:space="preserve">Рынок e-commerce 2025</t>
  </si>
  <si>
    <t xml:space="preserve">Рынок e-commerce 2030</t>
  </si>
  <si>
    <t xml:space="preserve">Прирост 2025–2030</t>
  </si>
  <si>
    <t xml:space="preserve">Рост рынка в год (CAGR)</t>
  </si>
  <si>
    <t xml:space="preserve">Внутренний сегмент 2030</t>
  </si>
  <si>
    <t xml:space="preserve">Трансграничный сегмент 2030</t>
  </si>
  <si>
    <t xml:space="preserve">Доля внутреннего e-commerce в рознице 2030</t>
  </si>
  <si>
    <t xml:space="preserve">Заказы на маркетплейсах 2030, млн</t>
  </si>
  <si>
    <t xml:space="preserve">Площадки: онлайн-продажи (выбранный сценарий)</t>
  </si>
  <si>
    <t xml:space="preserve">Площадка</t>
  </si>
  <si>
    <t xml:space="preserve">2025</t>
  </si>
  <si>
    <t xml:space="preserve">2030</t>
  </si>
  <si>
    <t xml:space="preserve">Рост, раз</t>
  </si>
  <si>
    <t xml:space="preserve">Доля рынка 2030</t>
  </si>
  <si>
    <t xml:space="preserve">Сравнение сценариев: рынок всего</t>
  </si>
  <si>
    <t xml:space="preserve">Сценарий</t>
  </si>
  <si>
    <t xml:space="preserve">2026</t>
  </si>
  <si>
    <t xml:space="preserve">2027</t>
  </si>
  <si>
    <t xml:space="preserve">2028</t>
  </si>
  <si>
    <t xml:space="preserve">2029</t>
  </si>
  <si>
    <t xml:space="preserve">Пессимистичный</t>
  </si>
  <si>
    <t xml:space="preserve">Базовый</t>
  </si>
  <si>
    <t xml:space="preserve">Оптимистичный</t>
  </si>
  <si>
    <t xml:space="preserve">Допущения модели рынка e-commerce Казахстана (млрд ₸, если не указано иное)</t>
  </si>
  <si>
    <t xml:space="preserve">Выбранный сценарий (выберите из списка)</t>
  </si>
  <si>
    <t xml:space="preserve">Номер сценария (служебная ячейка)</t>
  </si>
  <si>
    <t xml:space="preserve">База 2025 года</t>
  </si>
  <si>
    <t xml:space="preserve">Рынок e-commerce 2025, всего (внутренний + трансграничный)</t>
  </si>
  <si>
    <t xml:space="preserve">Доля внутреннего сегмента в 2025</t>
  </si>
  <si>
    <t xml:space="preserve">Внутренний рынок 2025 по БНС</t>
  </si>
  <si>
    <t xml:space="preserve">Доля e-commerce в рознице 2025 (БНС)</t>
  </si>
  <si>
    <t xml:space="preserve">Розничная торговля 2025</t>
  </si>
  <si>
    <t xml:space="preserve">Номинальный рост розницы в год</t>
  </si>
  <si>
    <t xml:space="preserve">Продажи через маркетплейсы 2025 (БНС)</t>
  </si>
  <si>
    <t xml:space="preserve">Доля маркетплейсов во внутреннем рынке 2025</t>
  </si>
  <si>
    <t xml:space="preserve">Средний курс ₸/$ 2025</t>
  </si>
  <si>
    <t xml:space="preserve">Заказы на маркетплейсах 2025, млн</t>
  </si>
  <si>
    <t xml:space="preserve">Калибровка базового сценария по прогнозу Mastercard</t>
  </si>
  <si>
    <t xml:space="preserve">Рынок 2030 по Mastercard</t>
  </si>
  <si>
    <t xml:space="preserve">Доля трансграничного сегмента 2030</t>
  </si>
  <si>
    <t xml:space="preserve">Параметр</t>
  </si>
  <si>
    <t xml:space="preserve">Выбранный</t>
  </si>
  <si>
    <t xml:space="preserve">Рост внутреннего сегмента в год</t>
  </si>
  <si>
    <t xml:space="preserve">Рост трансграничного сегмента в год</t>
  </si>
  <si>
    <t xml:space="preserve">Рост числа заказов в год</t>
  </si>
  <si>
    <t xml:space="preserve">Площадки: онлайн-выручка 2025 (Forbes Kazakhstan 2026) и рост по сценариям</t>
  </si>
  <si>
    <t xml:space="preserve">Выручка 2025, $ млн</t>
  </si>
  <si>
    <t xml:space="preserve">Рост в год: Пессимистичный</t>
  </si>
  <si>
    <t xml:space="preserve">Рост в год: Базовый</t>
  </si>
  <si>
    <t xml:space="preserve">Рост в год: Оптимистичный</t>
  </si>
  <si>
    <t xml:space="preserve">Рост в год: выбранный</t>
  </si>
  <si>
    <t xml:space="preserve">Kaspi Магазин</t>
  </si>
  <si>
    <t xml:space="preserve">Wildberries</t>
  </si>
  <si>
    <t xml:space="preserve">Ozon</t>
  </si>
  <si>
    <t xml:space="preserve">Halyk Market</t>
  </si>
  <si>
    <t xml:space="preserve">Чувствительность: доля покупок в рассрочку/кредит (для листа «Финансирование»)</t>
  </si>
  <si>
    <t xml:space="preserve">Доля финансируемых покупок, вариант 1</t>
  </si>
  <si>
    <t xml:space="preserve">Доля финансируемых покупок, вариант 2</t>
  </si>
  <si>
    <t xml:space="preserve">Доля финансируемых покупок, вариант 3</t>
  </si>
  <si>
    <t xml:space="preserve">Легенда</t>
  </si>
  <si>
    <t xml:space="preserve">Синий текст</t>
  </si>
  <si>
    <t xml:space="preserve">вводные данные (можно менять)</t>
  </si>
  <si>
    <t xml:space="preserve">Чёрный текст</t>
  </si>
  <si>
    <t xml:space="preserve">формулы (не трогать)</t>
  </si>
  <si>
    <t xml:space="preserve">Зелёный текст</t>
  </si>
  <si>
    <t xml:space="preserve">ссылки на другие листы</t>
  </si>
  <si>
    <t xml:space="preserve">Жёлтая заливка</t>
  </si>
  <si>
    <t xml:space="preserve">ключевые допущения и выбор сценария</t>
  </si>
  <si>
    <t xml:space="preserve">Примечания к ячейкам (комментарии) содержат источник каждой цифры.</t>
  </si>
  <si>
    <t xml:space="preserve">Сценарии рынка e-commerce Казахстана, млрд ₸</t>
  </si>
  <si>
    <t xml:space="preserve">Показатель</t>
  </si>
  <si>
    <t xml:space="preserve">Лет от базы (служебная строка)</t>
  </si>
  <si>
    <t xml:space="preserve">Сценарий: Пессимистичный</t>
  </si>
  <si>
    <t xml:space="preserve">Внутренний сегмент</t>
  </si>
  <si>
    <t xml:space="preserve">Трансграничный сегмент</t>
  </si>
  <si>
    <t xml:space="preserve">Рынок всего</t>
  </si>
  <si>
    <t xml:space="preserve">Доля трансграничного</t>
  </si>
  <si>
    <t xml:space="preserve">Розничная торговля</t>
  </si>
  <si>
    <t xml:space="preserve">Доля внутреннего e-com в рознице</t>
  </si>
  <si>
    <t xml:space="preserve">Заказы на маркетплейсах, млн</t>
  </si>
  <si>
    <t xml:space="preserve">Рост рынка в год 2025–2030 (CAGR)</t>
  </si>
  <si>
    <t xml:space="preserve">Сценарий: Базовый</t>
  </si>
  <si>
    <t xml:space="preserve">Сценарий: Оптимистичный</t>
  </si>
  <si>
    <t xml:space="preserve">ВЫБРАННЫЙ СЦЕНАРИЙ (см. «Допущения»!C3)</t>
  </si>
  <si>
    <t xml:space="preserve">Потенциал онлайн-продаж крупнейших площадок, млрд ₸</t>
  </si>
  <si>
    <t xml:space="preserve">Выбранный сценарий:</t>
  </si>
  <si>
    <t xml:space="preserve">Рост в год (выбр.)</t>
  </si>
  <si>
    <t xml:space="preserve">2030: Пессимистичный</t>
  </si>
  <si>
    <t xml:space="preserve">2030: Базовый</t>
  </si>
  <si>
    <t xml:space="preserve">2030: Оптимистичный</t>
  </si>
  <si>
    <t xml:space="preserve">Итого 4 площадки</t>
  </si>
  <si>
    <t xml:space="preserve">Рынок всего (выбранный сценарий)</t>
  </si>
  <si>
    <t xml:space="preserve">Остальной рынок (прочие площадки, сайты, трансграничные)</t>
  </si>
  <si>
    <t xml:space="preserve">Доля 4 площадок в рынке</t>
  </si>
  <si>
    <t xml:space="preserve">Доля Kaspi Магазин в рынке</t>
  </si>
  <si>
    <t xml:space="preserve">Примечание: 2025 — онлайн-выручка по Forbes Kazakhstan 2026 (только продажи на собственной площадке, не GMV), пересчитанная в ₸ по курсу из «Допущения»!C15. Темпы роста — допущения модели.</t>
  </si>
  <si>
    <t xml:space="preserve">Категории: продажи через маркетплейсы, млрд ₸</t>
  </si>
  <si>
    <t xml:space="preserve">Категория</t>
  </si>
  <si>
    <t xml:space="preserve">Доля 2025 (БНС)</t>
  </si>
  <si>
    <t xml:space="preserve">Объём 2025</t>
  </si>
  <si>
    <t xml:space="preserve">Доля 2030 (допущение)</t>
  </si>
  <si>
    <t xml:space="preserve">Объём 2030 (выбр. сценарий)</t>
  </si>
  <si>
    <t xml:space="preserve">Доля маркетплейсов во внутреннем рынке 2030 (допущение)</t>
  </si>
  <si>
    <t xml:space="preserve">Телефоны и гаджеты</t>
  </si>
  <si>
    <t xml:space="preserve">Одежда, обувь и спорттовары</t>
  </si>
  <si>
    <t xml:space="preserve">Товары для дома и дачи</t>
  </si>
  <si>
    <t xml:space="preserve">Бытовая техника</t>
  </si>
  <si>
    <t xml:space="preserve">Продукты питания</t>
  </si>
  <si>
    <t xml:space="preserve">Прочие категории</t>
  </si>
  <si>
    <t xml:space="preserve">Итого маркетплейсы</t>
  </si>
  <si>
    <t xml:space="preserve">Тренды: электроника теряет долю (рассрочка ограничена), продукты онлайн растут быстрее всех (Kaspi e-Grocery +53% в 2025), одежда и дом растут за счёт WB, Ozon и трансграничной торговли.</t>
  </si>
  <si>
    <t xml:space="preserve">Потенциал для банков: объём покупок в рассрочку/кредит в 2030 году, млрд ₸</t>
  </si>
  <si>
    <t xml:space="preserve">Сопоставление, а не прогноз: фактическая доля рассрочки в e-commerce не публикуется.</t>
  </si>
  <si>
    <t xml:space="preserve">Доля финансируемых покупок</t>
  </si>
  <si>
    <t xml:space="preserve">Внутренний рынок 2030: Пессимистичный</t>
  </si>
  <si>
    <t xml:space="preserve">Справочно, 2025: внутренний рынок × те же доли</t>
  </si>
  <si>
    <t xml:space="preserve">Контекст: у Kaspi BNPL — 41% объёма финтех-платформы (FY2025). Ограничения АРРФР: КДН 50%, ГЭСВ ≤ 46%, срок беззалоговых ≤ 5 лет, с 2027 г. планируется коэффициент долга к доходу.</t>
  </si>
  <si>
    <t xml:space="preserve">Розничная электронная коммерция РК, БНС (внутренний рынок)</t>
  </si>
  <si>
    <t xml:space="preserve">Год</t>
  </si>
  <si>
    <t xml:space="preserve">Объём, млрд ₸</t>
  </si>
  <si>
    <t xml:space="preserve">Рост к прошлому году</t>
  </si>
  <si>
    <t xml:space="preserve">Доля в рознице</t>
  </si>
  <si>
    <t xml:space="preserve">2021</t>
  </si>
  <si>
    <t xml:space="preserve">—</t>
  </si>
  <si>
    <t xml:space="preserve">2022*</t>
  </si>
  <si>
    <t xml:space="preserve">н/с</t>
  </si>
  <si>
    <t xml:space="preserve">2023*</t>
  </si>
  <si>
    <t xml:space="preserve">2024*</t>
  </si>
  <si>
    <t xml:space="preserve">2025*</t>
  </si>
  <si>
    <t xml:space="preserve">* С 2022 года — с учётом маркетплейсов; рост 2022 к 2021 несопоставим (смена методики).</t>
  </si>
  <si>
    <t xml:space="preserve">Альтернативные оценки 2025 года</t>
  </si>
  <si>
    <t xml:space="preserve">Источник</t>
  </si>
  <si>
    <t xml:space="preserve">Объём 2025, млрд ₸</t>
  </si>
  <si>
    <t xml:space="preserve">Рост</t>
  </si>
  <si>
    <t xml:space="preserve">Комментарий</t>
  </si>
  <si>
    <t xml:space="preserve">БНС</t>
  </si>
  <si>
    <t xml:space="preserve">Внутренний рынок; маркетплейсы 86%</t>
  </si>
  <si>
    <t xml:space="preserve">Mastercard (авг. 2026)</t>
  </si>
  <si>
    <t xml:space="preserve">Включая трансграничную торговлю (23%); доля в рознице 18%</t>
  </si>
  <si>
    <t xml:space="preserve">Baker Tilly (сент. 2026)</t>
  </si>
  <si>
    <t xml:space="preserve">Маркетплейсы 93%; прогноз 2026: 4 437 млрд ₸ (+2,9%)</t>
  </si>
  <si>
    <t xml:space="preserve">Партнёры маркетплейсов</t>
  </si>
  <si>
    <t xml:space="preserve">Банки и финансы</t>
  </si>
  <si>
    <t xml:space="preserve">Платежи</t>
  </si>
  <si>
    <t xml:space="preserve">Логистика</t>
  </si>
  <si>
    <t xml:space="preserve">Собственники и стратегические партнёры</t>
  </si>
  <si>
    <t xml:space="preserve">Kaspi</t>
  </si>
  <si>
    <t xml:space="preserve">Kaspi Bank: BNPL (41% объёма финтеха), Kaspi Red, кредиты продавцам (18%)</t>
  </si>
  <si>
    <t xml:space="preserve">Kaspi Pay, Kaspi QR, Kaspi Gold</t>
  </si>
  <si>
    <t xml:space="preserve">10 000+ Kaspi Postomat, Kaspi Доставка; пилот с Казпочтой (Hepsiburada → Казахстан)</t>
  </si>
  <si>
    <t xml:space="preserve">Доля в Magnum E-com; контроль Kolesa Group (50,76% голосов); Hepsiburada (Турция)</t>
  </si>
  <si>
    <t xml:space="preserve">Казахстанские банки-партнёры (кредит с окт. 2025, рассрочка с фев. 2026), Home Credit Bank (карта Ozen); Вайлдберриз Банк (РФ); МФО Solva — переговоры не подтверждены</t>
  </si>
  <si>
    <t xml:space="preserve">Карты банков РК</t>
  </si>
  <si>
    <t xml:space="preserve">Склады Астана + Алматы 260 тыс. м² (1 кв. 2027), аренда ~46 тыс. м², логоцентр на западе, ПВЗ</t>
  </si>
  <si>
    <t xml:space="preserve">Группа RWB (Wildberries + Russ)</t>
  </si>
  <si>
    <t xml:space="preserve">Рассрочка: Halyk Bank, Home Credit Bank, Евразийский банк, МФО «Фридом Финанс Кредит» (на запуск, 2023); Ozon Банк (РФ)</t>
  </si>
  <si>
    <t xml:space="preserve">ПВЗ</t>
  </si>
  <si>
    <t xml:space="preserve">Ozon (РФ)</t>
  </si>
  <si>
    <t xml:space="preserve">Halyk Bank (владелец), рассрочка и кредит Halyk</t>
  </si>
  <si>
    <t xml:space="preserve">Homebank, карты банков РК</t>
  </si>
  <si>
    <t xml:space="preserve">Экосистема Halyk (Halyk Travel и др.)</t>
  </si>
  <si>
    <t xml:space="preserve">Freedom (Arbuz, Ticketon, Freedom Travel)</t>
  </si>
  <si>
    <t xml:space="preserve">Freedom Bank</t>
  </si>
  <si>
    <t xml:space="preserve">Freedom Pay, Freedom SuperApp (2,59 млн MAU)</t>
  </si>
  <si>
    <t xml:space="preserve">Собственная доставка Arbuz</t>
  </si>
  <si>
    <t xml:space="preserve">Freedom Holding</t>
  </si>
  <si>
    <t xml:space="preserve">Teez</t>
  </si>
  <si>
    <t xml:space="preserve">Покупатель — крупный финтех (не раскрыт)</t>
  </si>
  <si>
    <t xml:space="preserve">Сделка на этапе due diligence</t>
  </si>
  <si>
    <t xml:space="preserve">Ритейлеры (Sulpak, Technodom, Alser, Evrika, Mechta)</t>
  </si>
  <si>
    <t xml:space="preserve">Halyk (отдельные продукты рассрочки), ForteBank (Sulpak, Technodom), Kaspi (Sulpak)</t>
  </si>
  <si>
    <t xml:space="preserve">Карты, Kaspi QR</t>
  </si>
  <si>
    <t xml:space="preserve">Собственные магазины + Kaspi</t>
  </si>
  <si>
    <t xml:space="preserve">Источники</t>
  </si>
  <si>
    <t xml:space="preserve">Ссылка</t>
  </si>
  <si>
    <t xml:space="preserve">БНС: Об электронной коммерции в РК (2025)</t>
  </si>
  <si>
    <t xml:space="preserve">https://stat.gov.kz/ru/industries/economy/local-market/publications/346330/</t>
  </si>
  <si>
    <t xml:space="preserve">Mastercard: Исследование рынка розничного e-commerce в Казахстане (авг. 2026)</t>
  </si>
  <si>
    <t xml:space="preserve">https://www.mastercard.com/content/dam/mccom/eeu/kazakhstan/documents/20260909_KZ_eCom_CAFS_Short.pdf</t>
  </si>
  <si>
    <t xml:space="preserve">Kapital.kz: К 2030 году объём e-commerce может достичь 11 трлн тенге</t>
  </si>
  <si>
    <t xml:space="preserve">https://kapital.kz/economic/152916/k-2030-godu-obuem-e-commerce-v-kazahstane-mozhet-dostich-11-trln-tenge.html</t>
  </si>
  <si>
    <t xml:space="preserve">Baker Tilly: Market Overview of E-Commerce in Kazakhstan 2026</t>
  </si>
  <si>
    <t xml:space="preserve">https://bakertilly-ca.com/wp-content/uploads/2026/09/e-commerce-market-review-of-kazakhstan-2026-presentation..pdf</t>
  </si>
  <si>
    <t xml:space="preserve">Forbes.kz: 50 крупнейших торговых интернет-площадок — 2026</t>
  </si>
  <si>
    <t xml:space="preserve">https://forbes.kz/articles/50-krupneyshih-torgovyh-internet-ploshadok-kazahstana-2026</t>
  </si>
  <si>
    <t xml:space="preserve">Kaspi.kz 4Q &amp; FY 2025 Results</t>
  </si>
  <si>
    <t xml:space="preserve">https://ir.kaspi.kz/media/4Q__FY_2025_Financial_Results_.pdf</t>
  </si>
  <si>
    <t xml:space="preserve">Kaspi.kz 2Q &amp; 1H 2026 Results</t>
  </si>
  <si>
    <t xml:space="preserve">https://ir.kaspi.kz/media/2Q_2026_Results.pdf</t>
  </si>
  <si>
    <t xml:space="preserve">Inbusiness.kz: почти 300 млн заказов на маркетплейсах в 2025</t>
  </si>
  <si>
    <t xml:space="preserve">https://inbusiness.kz/ru/last/pochti-300-mln-zakazov-sdelali-kazahstancy-na-marketplejsah-v-2025-godu</t>
  </si>
  <si>
    <t xml:space="preserve">Repost: склады WB 260 тыс. м² за $100 млн</t>
  </si>
  <si>
    <t xml:space="preserve">https://repost.news/news/134770-wildberriec_postroit_v_kazakhstane_sklady_na_260_tysjach_kvadratnyh_metrov_za_100_millionov</t>
  </si>
  <si>
    <t xml:space="preserve">LSM.kz: ограничения АРРФР для заёмщиков и банков</t>
  </si>
  <si>
    <t xml:space="preserve">https://lsm.kz/zakreditovannost-mery-arrfr</t>
  </si>
  <si>
    <t xml:space="preserve">Kursiv: новые правила для покупок на AliExpress, Temu, iHerb</t>
  </si>
  <si>
    <t xml:space="preserve">https://kz.kursiv.media/2026-06-06/svvo-chto-izmenitsya-dlya-pokupatelei-aliexpress-temu-i-iherb-v-kazahstane/</t>
  </si>
  <si>
    <t xml:space="preserve">Полный текстовый отчёт: docs/kz-ecommerce-market-potential.md (в репозитории)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</si>
</sst>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\x"/>
    <numFmt numFmtId="168" formatCode="#,##0.0;\(#,##0.0\);\-"/>
    <numFmt numFmtId="169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Рынок e-commerce Казахстана по сценариям, млрд 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Сводка!A25</c:f>
              <c:strCache>
                <c:ptCount val="1"/>
                <c:pt idx="0">
                  <c:v>Пессимистичный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Сводка!$B$24:$G$24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Сводка!$B$25:$G$25</c:f>
              <c:numCache>
                <c:formatCode>#,##0;\(#,##0\);\-</c:formatCode>
                <c:ptCount val="6"/>
                <c:pt idx="0">
                  <c:v>4920</c:v>
                </c:pt>
                <c:pt idx="1">
                  <c:v>5389.368</c:v>
                </c:pt>
                <c:pt idx="2">
                  <c:v>5903.86224</c:v>
                </c:pt>
                <c:pt idx="3">
                  <c:v>6467.8504992</c:v>
                </c:pt>
                <c:pt idx="4">
                  <c:v>7086.125747136</c:v>
                </c:pt>
                <c:pt idx="5">
                  <c:v>7763.94773570688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Сводка!A26</c:f>
              <c:strCache>
                <c:ptCount val="1"/>
                <c:pt idx="0">
                  <c:v>Базовый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Сводка!$B$24:$G$24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Сводка!$B$26:$G$26</c:f>
              <c:numCache>
                <c:formatCode>#,##0;\(#,##0\);\-</c:formatCode>
                <c:ptCount val="6"/>
                <c:pt idx="0">
                  <c:v>4920</c:v>
                </c:pt>
                <c:pt idx="1">
                  <c:v>5770.90463963358</c:v>
                </c:pt>
                <c:pt idx="2">
                  <c:v>6779.3688327089</c:v>
                </c:pt>
                <c:pt idx="3">
                  <c:v>7976.85186764196</c:v>
                </c:pt>
                <c:pt idx="4">
                  <c:v>9401.56319150483</c:v>
                </c:pt>
                <c:pt idx="5">
                  <c:v>11100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Сводка!A27</c:f>
              <c:strCache>
                <c:ptCount val="1"/>
                <c:pt idx="0">
                  <c:v>Оптимистичный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Сводка!$B$24:$G$24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Сводка!$B$27:$G$27</c:f>
              <c:numCache>
                <c:formatCode>#,##0;\(#,##0\);\-</c:formatCode>
                <c:ptCount val="6"/>
                <c:pt idx="0">
                  <c:v>4920</c:v>
                </c:pt>
                <c:pt idx="1">
                  <c:v>5918.76</c:v>
                </c:pt>
                <c:pt idx="2">
                  <c:v>7128.9816</c:v>
                </c:pt>
                <c:pt idx="3">
                  <c:v>8597.599632</c:v>
                </c:pt>
                <c:pt idx="4">
                  <c:v>10382.48128608</c:v>
                </c:pt>
                <c:pt idx="5">
                  <c:v>12555.089479584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345761"/>
        <c:axId val="40038689"/>
      </c:lineChart>
      <c:catAx>
        <c:axId val="613457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Год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38689"/>
        <c:crosses val="autoZero"/>
        <c:auto val="1"/>
        <c:lblAlgn val="ctr"/>
        <c:lblOffset val="100"/>
        <c:noMultiLvlLbl val="0"/>
      </c:catAx>
      <c:valAx>
        <c:axId val="40038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млрд 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45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50400</xdr:rowOff>
    </xdr:from>
    <xdr:to>
      <xdr:col>4</xdr:col>
      <xdr:colOff>276840</xdr:colOff>
      <xdr:row>42</xdr:row>
      <xdr:rowOff>72360</xdr:rowOff>
    </xdr:to>
    <xdr:graphicFrame>
      <xdr:nvGraphicFramePr>
        <xdr:cNvPr id="0" name="Chart 1"/>
        <xdr:cNvGraphicFramePr/>
      </xdr:nvGraphicFramePr>
      <xdr:xfrm>
        <a:off x="0" y="5524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stat.gov.kz/ru/industries/economy/local-market/publications/346330/" TargetMode="External"/><Relationship Id="rId2" Type="http://schemas.openxmlformats.org/officeDocument/2006/relationships/hyperlink" Target="https://www.mastercard.com/content/dam/mccom/eeu/kazakhstan/documents/20260909_KZ_eCom_CAFS_Short.pdf" TargetMode="External"/><Relationship Id="rId3" Type="http://schemas.openxmlformats.org/officeDocument/2006/relationships/hyperlink" Target="https://kapital.kz/economic/152916/k-2030-godu-obuem-e-commerce-v-kazahstane-mozhet-dostich-11-trln-tenge.html" TargetMode="External"/><Relationship Id="rId4" Type="http://schemas.openxmlformats.org/officeDocument/2006/relationships/hyperlink" Target="https://bakertilly-ca.com/wp-content/uploads/2026/09/e-commerce-market-review-of-kazakhstan-2026-presentation..pdf" TargetMode="External"/><Relationship Id="rId5" Type="http://schemas.openxmlformats.org/officeDocument/2006/relationships/hyperlink" Target="https://forbes.kz/articles/50-krupneyshih-torgovyh-internet-ploshadok-kazahstana-2026" TargetMode="External"/><Relationship Id="rId6" Type="http://schemas.openxmlformats.org/officeDocument/2006/relationships/hyperlink" Target="https://ir.kaspi.kz/media/4Q__FY_2025_Financial_Results_.pdf" TargetMode="External"/><Relationship Id="rId7" Type="http://schemas.openxmlformats.org/officeDocument/2006/relationships/hyperlink" Target="https://ir.kaspi.kz/media/2Q_2026_Results.pdf" TargetMode="External"/><Relationship Id="rId8" Type="http://schemas.openxmlformats.org/officeDocument/2006/relationships/hyperlink" Target="https://inbusiness.kz/ru/last/pochti-300-mln-zakazov-sdelali-kazahstancy-na-marketplejsah-v-2025-godu" TargetMode="External"/><Relationship Id="rId9" Type="http://schemas.openxmlformats.org/officeDocument/2006/relationships/hyperlink" Target="https://repost.news/news/134770-wildberriec_postroit_v_kazakhstane_sklady_na_260_tysjach_kvadratnyh_metrov_za_100_millionov" TargetMode="External"/><Relationship Id="rId10" Type="http://schemas.openxmlformats.org/officeDocument/2006/relationships/hyperlink" Target="https://lsm.kz/zakreditovannost-mery-arrfr" TargetMode="External"/><Relationship Id="rId11" Type="http://schemas.openxmlformats.org/officeDocument/2006/relationships/hyperlink" Target="https://kz.kursiv.media/2026-06-06/svvo-chto-izmenitsya-dlya-pokupatelei-aliexpress-temu-i-iherb-v-kazahstan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tr">
        <f aca="false">Допущения!C3</f>
        <v>Базовый</v>
      </c>
    </row>
    <row r="6" customFormat="false" ht="15" hidden="false" customHeight="false" outlineLevel="0" collapsed="false">
      <c r="A6" s="5" t="s">
        <v>3</v>
      </c>
      <c r="B6" s="6" t="n">
        <f aca="false">Рынок!B39</f>
        <v>4920</v>
      </c>
    </row>
    <row r="7" customFormat="false" ht="15" hidden="false" customHeight="false" outlineLevel="0" collapsed="false">
      <c r="A7" s="5" t="s">
        <v>4</v>
      </c>
      <c r="B7" s="6" t="n">
        <f aca="false">Рынок!G39</f>
        <v>11100</v>
      </c>
    </row>
    <row r="8" customFormat="false" ht="15" hidden="false" customHeight="false" outlineLevel="0" collapsed="false">
      <c r="A8" s="5" t="s">
        <v>5</v>
      </c>
      <c r="B8" s="7" t="n">
        <f aca="false">B7-B6</f>
        <v>6180</v>
      </c>
    </row>
    <row r="9" customFormat="false" ht="15" hidden="false" customHeight="false" outlineLevel="0" collapsed="false">
      <c r="A9" s="5" t="s">
        <v>6</v>
      </c>
      <c r="B9" s="8" t="n">
        <f aca="false">Рынок!B44</f>
        <v>0.176715773857557</v>
      </c>
    </row>
    <row r="10" customFormat="false" ht="15" hidden="false" customHeight="false" outlineLevel="0" collapsed="false">
      <c r="A10" s="5" t="s">
        <v>7</v>
      </c>
      <c r="B10" s="6" t="n">
        <f aca="false">Рынок!G37</f>
        <v>7548</v>
      </c>
    </row>
    <row r="11" customFormat="false" ht="15" hidden="false" customHeight="false" outlineLevel="0" collapsed="false">
      <c r="A11" s="5" t="s">
        <v>8</v>
      </c>
      <c r="B11" s="6" t="n">
        <f aca="false">Рынок!G38</f>
        <v>3552</v>
      </c>
    </row>
    <row r="12" customFormat="false" ht="15" hidden="false" customHeight="false" outlineLevel="0" collapsed="false">
      <c r="A12" s="5" t="s">
        <v>9</v>
      </c>
      <c r="B12" s="8" t="n">
        <f aca="false">Рынок!G42</f>
        <v>0.186136844841999</v>
      </c>
    </row>
    <row r="13" customFormat="false" ht="15" hidden="false" customHeight="false" outlineLevel="0" collapsed="false">
      <c r="A13" s="5" t="s">
        <v>10</v>
      </c>
      <c r="B13" s="6" t="n">
        <f aca="false">Рынок!G43</f>
        <v>724.10112</v>
      </c>
    </row>
    <row r="15" customFormat="false" ht="26.85" hidden="false" customHeight="false" outlineLevel="0" collapsed="false">
      <c r="A15" s="9" t="s">
        <v>11</v>
      </c>
    </row>
    <row r="16" customFormat="false" ht="26.85" hidden="false" customHeight="false" outlineLevel="0" collapsed="false">
      <c r="A16" s="10" t="s">
        <v>12</v>
      </c>
      <c r="B16" s="10" t="s">
        <v>13</v>
      </c>
      <c r="C16" s="10" t="s">
        <v>14</v>
      </c>
      <c r="D16" s="10" t="s">
        <v>15</v>
      </c>
      <c r="E16" s="10" t="s">
        <v>16</v>
      </c>
    </row>
    <row r="17" customFormat="false" ht="15" hidden="false" customHeight="false" outlineLevel="0" collapsed="false">
      <c r="A17" s="11" t="str">
        <f aca="false">Площадки!A5</f>
        <v>Kaspi Магазин</v>
      </c>
      <c r="B17" s="6" t="n">
        <f aca="false">Площадки!B5</f>
        <v>2469.56325</v>
      </c>
      <c r="C17" s="6" t="n">
        <f aca="false">Площадки!G5</f>
        <v>4550.01020930644</v>
      </c>
      <c r="D17" s="12" t="n">
        <f aca="false">IF(B17=0,0,C17/B17)</f>
        <v>1.8424351793</v>
      </c>
      <c r="E17" s="13" t="n">
        <f aca="false">IF($B$7=0,0,C17/$B$7)</f>
        <v>0.409910829667247</v>
      </c>
    </row>
    <row r="18" customFormat="false" ht="15" hidden="false" customHeight="false" outlineLevel="0" collapsed="false">
      <c r="A18" s="11" t="str">
        <f aca="false">Площадки!A6</f>
        <v>Wildberries</v>
      </c>
      <c r="B18" s="6" t="n">
        <f aca="false">Площадки!B6</f>
        <v>313.78655</v>
      </c>
      <c r="C18" s="6" t="n">
        <f aca="false">Площадки!G6</f>
        <v>848.073470187365</v>
      </c>
      <c r="D18" s="12" t="n">
        <f aca="false">IF(B18=0,0,C18/B18)</f>
        <v>2.7027081632</v>
      </c>
      <c r="E18" s="13" t="n">
        <f aca="false">IF($B$7=0,0,C18/$B$7)</f>
        <v>0.0764030153321951</v>
      </c>
    </row>
    <row r="19" customFormat="false" ht="15" hidden="false" customHeight="false" outlineLevel="0" collapsed="false">
      <c r="A19" s="11" t="str">
        <f aca="false">Площадки!A7</f>
        <v>Ozon</v>
      </c>
      <c r="B19" s="6" t="n">
        <f aca="false">Площадки!B7</f>
        <v>101.84895</v>
      </c>
      <c r="C19" s="6" t="n">
        <f aca="false">Площадки!G7</f>
        <v>310.818328857422</v>
      </c>
      <c r="D19" s="12" t="n">
        <f aca="false">IF(B19=0,0,C19/B19)</f>
        <v>3.0517578125</v>
      </c>
      <c r="E19" s="13" t="n">
        <f aca="false">IF($B$7=0,0,C19/$B$7)</f>
        <v>0.0280016512484164</v>
      </c>
    </row>
    <row r="20" customFormat="false" ht="15" hidden="false" customHeight="false" outlineLevel="0" collapsed="false">
      <c r="A20" s="11" t="str">
        <f aca="false">Площадки!A8</f>
        <v>Halyk Market</v>
      </c>
      <c r="B20" s="6" t="n">
        <f aca="false">Площадки!B8</f>
        <v>123.5955</v>
      </c>
      <c r="C20" s="6" t="n">
        <f aca="false">Площадки!G8</f>
        <v>217.817501505946</v>
      </c>
      <c r="D20" s="12" t="n">
        <f aca="false">IF(B20=0,0,C20/B20)</f>
        <v>1.7623416832</v>
      </c>
      <c r="E20" s="13" t="n">
        <f aca="false">IF($B$7=0,0,C20/$B$7)</f>
        <v>0.019623198333869</v>
      </c>
    </row>
    <row r="23" customFormat="false" ht="15" hidden="false" customHeight="false" outlineLevel="0" collapsed="false">
      <c r="A23" s="9" t="s">
        <v>17</v>
      </c>
    </row>
    <row r="24" customFormat="false" ht="15" hidden="false" customHeight="false" outlineLevel="0" collapsed="false">
      <c r="A24" s="10" t="s">
        <v>18</v>
      </c>
      <c r="B24" s="10" t="s">
        <v>13</v>
      </c>
      <c r="C24" s="10" t="s">
        <v>19</v>
      </c>
      <c r="D24" s="10" t="s">
        <v>20</v>
      </c>
      <c r="E24" s="10" t="s">
        <v>21</v>
      </c>
      <c r="F24" s="10" t="s">
        <v>22</v>
      </c>
      <c r="G24" s="10" t="s">
        <v>14</v>
      </c>
    </row>
    <row r="25" customFormat="false" ht="15" hidden="false" customHeight="false" outlineLevel="0" collapsed="false">
      <c r="A25" s="14" t="s">
        <v>23</v>
      </c>
      <c r="B25" s="6" t="n">
        <f aca="false">Рынок!B9</f>
        <v>4920</v>
      </c>
      <c r="C25" s="6" t="n">
        <f aca="false">Рынок!C9</f>
        <v>5389.368</v>
      </c>
      <c r="D25" s="6" t="n">
        <f aca="false">Рынок!D9</f>
        <v>5903.86224</v>
      </c>
      <c r="E25" s="6" t="n">
        <f aca="false">Рынок!E9</f>
        <v>6467.8504992</v>
      </c>
      <c r="F25" s="6" t="n">
        <f aca="false">Рынок!F9</f>
        <v>7086.125747136</v>
      </c>
      <c r="G25" s="6" t="n">
        <f aca="false">Рынок!G9</f>
        <v>7763.94773570688</v>
      </c>
    </row>
    <row r="26" customFormat="false" ht="15" hidden="false" customHeight="false" outlineLevel="0" collapsed="false">
      <c r="A26" s="14" t="s">
        <v>24</v>
      </c>
      <c r="B26" s="6" t="n">
        <f aca="false">Рынок!B19</f>
        <v>4920</v>
      </c>
      <c r="C26" s="6" t="n">
        <f aca="false">Рынок!C19</f>
        <v>5770.90463963358</v>
      </c>
      <c r="D26" s="6" t="n">
        <f aca="false">Рынок!D19</f>
        <v>6779.3688327089</v>
      </c>
      <c r="E26" s="6" t="n">
        <f aca="false">Рынок!E19</f>
        <v>7976.85186764196</v>
      </c>
      <c r="F26" s="6" t="n">
        <f aca="false">Рынок!F19</f>
        <v>9401.56319150483</v>
      </c>
      <c r="G26" s="6" t="n">
        <f aca="false">Рынок!G19</f>
        <v>11100</v>
      </c>
    </row>
    <row r="27" customFormat="false" ht="15" hidden="false" customHeight="false" outlineLevel="0" collapsed="false">
      <c r="A27" s="14" t="s">
        <v>25</v>
      </c>
      <c r="B27" s="6" t="n">
        <f aca="false">Рынок!B29</f>
        <v>4920</v>
      </c>
      <c r="C27" s="6" t="n">
        <f aca="false">Рынок!C29</f>
        <v>5918.76</v>
      </c>
      <c r="D27" s="6" t="n">
        <f aca="false">Рынок!D29</f>
        <v>7128.9816</v>
      </c>
      <c r="E27" s="6" t="n">
        <f aca="false">Рынок!E29</f>
        <v>8597.599632</v>
      </c>
      <c r="F27" s="6" t="n">
        <f aca="false">Рынок!F29</f>
        <v>10382.48128608</v>
      </c>
      <c r="G27" s="6" t="n">
        <f aca="false">Рынок!G29</f>
        <v>12555.089479584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3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3" t="s">
        <v>27</v>
      </c>
      <c r="C3" s="15" t="s">
        <v>24</v>
      </c>
    </row>
    <row r="4" customFormat="false" ht="15" hidden="false" customHeight="false" outlineLevel="0" collapsed="false">
      <c r="A4" s="5" t="s">
        <v>28</v>
      </c>
      <c r="C4" s="14" t="n">
        <f aca="false">MATCH(C3,$C$20:$E$20,0)</f>
        <v>2</v>
      </c>
    </row>
    <row r="6" customFormat="false" ht="15" hidden="false" customHeight="false" outlineLevel="0" collapsed="false">
      <c r="A6" s="9" t="s">
        <v>29</v>
      </c>
    </row>
    <row r="7" customFormat="false" ht="26.85" hidden="false" customHeight="false" outlineLevel="0" collapsed="false">
      <c r="A7" s="5" t="s">
        <v>30</v>
      </c>
      <c r="C7" s="16" t="n">
        <v>4920</v>
      </c>
    </row>
    <row r="8" customFormat="false" ht="15" hidden="false" customHeight="false" outlineLevel="0" collapsed="false">
      <c r="A8" s="5" t="s">
        <v>31</v>
      </c>
      <c r="C8" s="17" t="n">
        <v>0.77</v>
      </c>
    </row>
    <row r="9" customFormat="false" ht="15" hidden="false" customHeight="false" outlineLevel="0" collapsed="false">
      <c r="A9" s="5" t="s">
        <v>32</v>
      </c>
      <c r="C9" s="18" t="n">
        <v>3768.8</v>
      </c>
    </row>
    <row r="10" customFormat="false" ht="15" hidden="false" customHeight="false" outlineLevel="0" collapsed="false">
      <c r="A10" s="5" t="s">
        <v>33</v>
      </c>
      <c r="C10" s="17" t="n">
        <v>0.143</v>
      </c>
    </row>
    <row r="11" customFormat="false" ht="15" hidden="false" customHeight="false" outlineLevel="0" collapsed="false">
      <c r="A11" s="5" t="s">
        <v>34</v>
      </c>
      <c r="C11" s="7" t="n">
        <f aca="false">C9/C10</f>
        <v>26355.2447552448</v>
      </c>
    </row>
    <row r="12" customFormat="false" ht="15" hidden="false" customHeight="false" outlineLevel="0" collapsed="false">
      <c r="A12" s="5" t="s">
        <v>35</v>
      </c>
      <c r="C12" s="19" t="n">
        <v>0.09</v>
      </c>
    </row>
    <row r="13" customFormat="false" ht="15" hidden="false" customHeight="false" outlineLevel="0" collapsed="false">
      <c r="A13" s="5" t="s">
        <v>36</v>
      </c>
      <c r="C13" s="18" t="n">
        <v>3237.5</v>
      </c>
    </row>
    <row r="14" customFormat="false" ht="15" hidden="false" customHeight="false" outlineLevel="0" collapsed="false">
      <c r="A14" s="5" t="s">
        <v>37</v>
      </c>
      <c r="C14" s="13" t="n">
        <f aca="false">C13/C9</f>
        <v>0.859026745913819</v>
      </c>
    </row>
    <row r="15" customFormat="false" ht="15" hidden="false" customHeight="false" outlineLevel="0" collapsed="false">
      <c r="A15" s="5" t="s">
        <v>38</v>
      </c>
      <c r="C15" s="18" t="n">
        <v>521.5</v>
      </c>
    </row>
    <row r="16" customFormat="false" ht="15" hidden="false" customHeight="false" outlineLevel="0" collapsed="false">
      <c r="A16" s="5" t="s">
        <v>39</v>
      </c>
      <c r="C16" s="20" t="n">
        <v>291</v>
      </c>
    </row>
    <row r="18" customFormat="false" ht="26.85" hidden="false" customHeight="false" outlineLevel="0" collapsed="false">
      <c r="A18" s="9" t="s">
        <v>40</v>
      </c>
      <c r="G18" s="5" t="s">
        <v>41</v>
      </c>
      <c r="H18" s="20" t="n">
        <v>11100</v>
      </c>
    </row>
    <row r="19" customFormat="false" ht="26.85" hidden="false" customHeight="false" outlineLevel="0" collapsed="false">
      <c r="G19" s="5" t="s">
        <v>42</v>
      </c>
      <c r="H19" s="17" t="n">
        <v>0.32</v>
      </c>
    </row>
    <row r="20" customFormat="false" ht="26.85" hidden="false" customHeight="false" outlineLevel="0" collapsed="false">
      <c r="A20" s="10" t="s">
        <v>43</v>
      </c>
      <c r="B20" s="10"/>
      <c r="C20" s="10" t="s">
        <v>23</v>
      </c>
      <c r="D20" s="10" t="s">
        <v>24</v>
      </c>
      <c r="E20" s="10" t="s">
        <v>25</v>
      </c>
      <c r="F20" s="10" t="s">
        <v>44</v>
      </c>
    </row>
    <row r="21" customFormat="false" ht="15" hidden="false" customHeight="false" outlineLevel="0" collapsed="false">
      <c r="A21" s="5" t="s">
        <v>45</v>
      </c>
      <c r="C21" s="17" t="n">
        <v>0.1</v>
      </c>
      <c r="D21" s="13" t="n">
        <f aca="false">((H18*(1-H19))/(C7*C8))^(1/5)-1</f>
        <v>0.147823766059316</v>
      </c>
      <c r="E21" s="17" t="n">
        <v>0.18</v>
      </c>
      <c r="F21" s="13" t="n">
        <f aca="false">INDEX(C21:E21,$C$4)</f>
        <v>0.147823766059316</v>
      </c>
    </row>
    <row r="22" customFormat="false" ht="15" hidden="false" customHeight="false" outlineLevel="0" collapsed="false">
      <c r="A22" s="5" t="s">
        <v>46</v>
      </c>
      <c r="C22" s="17" t="n">
        <v>0.08</v>
      </c>
      <c r="D22" s="13" t="n">
        <f aca="false">((H18*H19)/(C7*(1-C8)))^(1/5)-1</f>
        <v>0.257059989655768</v>
      </c>
      <c r="E22" s="17" t="n">
        <v>0.28</v>
      </c>
      <c r="F22" s="13" t="n">
        <f aca="false">INDEX(C22:E22,$C$4)</f>
        <v>0.257059989655768</v>
      </c>
    </row>
    <row r="23" customFormat="false" ht="15" hidden="false" customHeight="false" outlineLevel="0" collapsed="false">
      <c r="A23" s="5" t="s">
        <v>47</v>
      </c>
      <c r="C23" s="17" t="n">
        <v>0.12</v>
      </c>
      <c r="D23" s="17" t="n">
        <v>0.2</v>
      </c>
      <c r="E23" s="17" t="n">
        <v>0.25</v>
      </c>
      <c r="F23" s="13" t="n">
        <f aca="false">INDEX(C23:E23,$C$4)</f>
        <v>0.2</v>
      </c>
    </row>
    <row r="26" customFormat="false" ht="26.85" hidden="false" customHeight="false" outlineLevel="0" collapsed="false">
      <c r="A26" s="9" t="s">
        <v>48</v>
      </c>
    </row>
    <row r="27" customFormat="false" ht="31.5" hidden="false" customHeight="true" outlineLevel="0" collapsed="false">
      <c r="A27" s="10" t="s">
        <v>12</v>
      </c>
      <c r="B27" s="10" t="s">
        <v>49</v>
      </c>
      <c r="C27" s="10" t="s">
        <v>50</v>
      </c>
      <c r="D27" s="10" t="s">
        <v>51</v>
      </c>
      <c r="E27" s="10" t="s">
        <v>52</v>
      </c>
      <c r="F27" s="10" t="s">
        <v>53</v>
      </c>
    </row>
    <row r="28" customFormat="false" ht="15" hidden="false" customHeight="false" outlineLevel="0" collapsed="false">
      <c r="A28" s="5" t="s">
        <v>54</v>
      </c>
      <c r="B28" s="18" t="n">
        <v>4735.5</v>
      </c>
      <c r="C28" s="17" t="n">
        <v>0.09</v>
      </c>
      <c r="D28" s="17" t="n">
        <v>0.13</v>
      </c>
      <c r="E28" s="17" t="n">
        <v>0.17</v>
      </c>
      <c r="F28" s="13" t="n">
        <f aca="false">INDEX(C28:E28,$C$4)</f>
        <v>0.13</v>
      </c>
    </row>
    <row r="29" customFormat="false" ht="15" hidden="false" customHeight="false" outlineLevel="0" collapsed="false">
      <c r="A29" s="5" t="s">
        <v>55</v>
      </c>
      <c r="B29" s="18" t="n">
        <v>601.7</v>
      </c>
      <c r="C29" s="17" t="n">
        <v>0.12</v>
      </c>
      <c r="D29" s="17" t="n">
        <v>0.22</v>
      </c>
      <c r="E29" s="17" t="n">
        <v>0.3</v>
      </c>
      <c r="F29" s="13" t="n">
        <f aca="false">INDEX(C29:E29,$C$4)</f>
        <v>0.22</v>
      </c>
    </row>
    <row r="30" customFormat="false" ht="15" hidden="false" customHeight="false" outlineLevel="0" collapsed="false">
      <c r="A30" s="5" t="s">
        <v>56</v>
      </c>
      <c r="B30" s="18" t="n">
        <v>195.3</v>
      </c>
      <c r="C30" s="17" t="n">
        <v>0.12</v>
      </c>
      <c r="D30" s="17" t="n">
        <v>0.25</v>
      </c>
      <c r="E30" s="17" t="n">
        <v>0.35</v>
      </c>
      <c r="F30" s="13" t="n">
        <f aca="false">INDEX(C30:E30,$C$4)</f>
        <v>0.25</v>
      </c>
    </row>
    <row r="31" customFormat="false" ht="15" hidden="false" customHeight="false" outlineLevel="0" collapsed="false">
      <c r="A31" s="5" t="s">
        <v>57</v>
      </c>
      <c r="B31" s="18" t="n">
        <v>237</v>
      </c>
      <c r="C31" s="17" t="n">
        <v>0.06</v>
      </c>
      <c r="D31" s="17" t="n">
        <v>0.12</v>
      </c>
      <c r="E31" s="17" t="n">
        <v>0.18</v>
      </c>
      <c r="F31" s="13" t="n">
        <f aca="false">INDEX(C31:E31,$C$4)</f>
        <v>0.12</v>
      </c>
    </row>
    <row r="34" customFormat="false" ht="26.85" hidden="false" customHeight="false" outlineLevel="0" collapsed="false">
      <c r="A34" s="9" t="s">
        <v>58</v>
      </c>
    </row>
    <row r="35" customFormat="false" ht="15" hidden="false" customHeight="false" outlineLevel="0" collapsed="false">
      <c r="A35" s="5" t="s">
        <v>59</v>
      </c>
      <c r="C35" s="19" t="n">
        <v>0.2</v>
      </c>
    </row>
    <row r="36" customFormat="false" ht="15" hidden="false" customHeight="false" outlineLevel="0" collapsed="false">
      <c r="A36" s="5" t="s">
        <v>60</v>
      </c>
      <c r="C36" s="19" t="n">
        <v>0.3</v>
      </c>
    </row>
    <row r="37" customFormat="false" ht="15" hidden="false" customHeight="false" outlineLevel="0" collapsed="false">
      <c r="A37" s="5" t="s">
        <v>61</v>
      </c>
      <c r="C37" s="19" t="n">
        <v>0.4</v>
      </c>
    </row>
    <row r="40" customFormat="false" ht="15" hidden="false" customHeight="false" outlineLevel="0" collapsed="false">
      <c r="A40" s="9" t="s">
        <v>62</v>
      </c>
    </row>
    <row r="41" customFormat="false" ht="15" hidden="false" customHeight="false" outlineLevel="0" collapsed="false">
      <c r="A41" s="21" t="s">
        <v>63</v>
      </c>
      <c r="C41" s="22" t="s">
        <v>64</v>
      </c>
    </row>
    <row r="42" customFormat="false" ht="15" hidden="false" customHeight="false" outlineLevel="0" collapsed="false">
      <c r="A42" s="22" t="s">
        <v>65</v>
      </c>
      <c r="C42" s="22" t="s">
        <v>66</v>
      </c>
    </row>
    <row r="43" customFormat="false" ht="15" hidden="false" customHeight="false" outlineLevel="0" collapsed="false">
      <c r="A43" s="23" t="s">
        <v>67</v>
      </c>
      <c r="C43" s="22" t="s">
        <v>68</v>
      </c>
    </row>
    <row r="44" customFormat="false" ht="15" hidden="false" customHeight="false" outlineLevel="0" collapsed="false">
      <c r="A44" s="24" t="s">
        <v>69</v>
      </c>
      <c r="C44" s="22" t="s">
        <v>70</v>
      </c>
    </row>
    <row r="46" customFormat="false" ht="15" hidden="false" customHeight="false" outlineLevel="0" collapsed="false">
      <c r="A46" s="2" t="s">
        <v>71</v>
      </c>
    </row>
  </sheetData>
  <dataValidations count="1">
    <dataValidation allowBlank="false" errorStyle="stop" operator="between" showDropDown="false" showErrorMessage="false" showInputMessage="false" sqref="C3" type="list">
      <formula1>"Пессимистичный,Базовый,Оптимистичный"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72</v>
      </c>
    </row>
    <row r="3" customFormat="false" ht="15" hidden="false" customHeight="false" outlineLevel="0" collapsed="false">
      <c r="A3" s="10" t="s">
        <v>73</v>
      </c>
      <c r="B3" s="10" t="s">
        <v>13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14</v>
      </c>
    </row>
    <row r="4" customFormat="false" ht="15" hidden="false" customHeight="false" outlineLevel="0" collapsed="false">
      <c r="A4" s="5" t="s">
        <v>74</v>
      </c>
      <c r="B4" s="25" t="n">
        <v>0</v>
      </c>
      <c r="C4" s="25" t="n">
        <v>1</v>
      </c>
      <c r="D4" s="25" t="n">
        <v>2</v>
      </c>
      <c r="E4" s="25" t="n">
        <v>3</v>
      </c>
      <c r="F4" s="25" t="n">
        <v>4</v>
      </c>
      <c r="G4" s="25" t="n">
        <v>5</v>
      </c>
    </row>
    <row r="6" customFormat="false" ht="15" hidden="false" customHeight="false" outlineLevel="0" collapsed="false">
      <c r="A6" s="26" t="s">
        <v>75</v>
      </c>
    </row>
    <row r="7" customFormat="false" ht="15" hidden="false" customHeight="false" outlineLevel="0" collapsed="false">
      <c r="A7" s="5" t="s">
        <v>76</v>
      </c>
      <c r="B7" s="6" t="n">
        <f aca="false">Допущения!$C$7*Допущения!$C$8*(1+Допущения!$C$21)^B$4</f>
        <v>3788.4</v>
      </c>
      <c r="C7" s="6" t="n">
        <f aca="false">Допущения!$C$7*Допущения!$C$8*(1+Допущения!$C$21)^C$4</f>
        <v>4167.24</v>
      </c>
      <c r="D7" s="6" t="n">
        <f aca="false">Допущения!$C$7*Допущения!$C$8*(1+Допущения!$C$21)^D$4</f>
        <v>4583.964</v>
      </c>
      <c r="E7" s="6" t="n">
        <f aca="false">Допущения!$C$7*Допущения!$C$8*(1+Допущения!$C$21)^E$4</f>
        <v>5042.3604</v>
      </c>
      <c r="F7" s="6" t="n">
        <f aca="false">Допущения!$C$7*Допущения!$C$8*(1+Допущения!$C$21)^F$4</f>
        <v>5546.59644</v>
      </c>
      <c r="G7" s="6" t="n">
        <f aca="false">Допущения!$C$7*Допущения!$C$8*(1+Допущения!$C$21)^G$4</f>
        <v>6101.256084</v>
      </c>
    </row>
    <row r="8" customFormat="false" ht="15" hidden="false" customHeight="false" outlineLevel="0" collapsed="false">
      <c r="A8" s="5" t="s">
        <v>77</v>
      </c>
      <c r="B8" s="6" t="n">
        <f aca="false">Допущения!$C$7*(1-Допущения!$C$8)*(1+Допущения!$C$22)^B$4</f>
        <v>1131.6</v>
      </c>
      <c r="C8" s="6" t="n">
        <f aca="false">Допущения!$C$7*(1-Допущения!$C$8)*(1+Допущения!$C$22)^C$4</f>
        <v>1222.128</v>
      </c>
      <c r="D8" s="6" t="n">
        <f aca="false">Допущения!$C$7*(1-Допущения!$C$8)*(1+Допущения!$C$22)^D$4</f>
        <v>1319.89824</v>
      </c>
      <c r="E8" s="6" t="n">
        <f aca="false">Допущения!$C$7*(1-Допущения!$C$8)*(1+Допущения!$C$22)^E$4</f>
        <v>1425.4900992</v>
      </c>
      <c r="F8" s="6" t="n">
        <f aca="false">Допущения!$C$7*(1-Допущения!$C$8)*(1+Допущения!$C$22)^F$4</f>
        <v>1539.529307136</v>
      </c>
      <c r="G8" s="6" t="n">
        <f aca="false">Допущения!$C$7*(1-Допущения!$C$8)*(1+Допущения!$C$22)^G$4</f>
        <v>1662.69165170688</v>
      </c>
    </row>
    <row r="9" customFormat="false" ht="15" hidden="false" customHeight="false" outlineLevel="0" collapsed="false">
      <c r="A9" s="3" t="s">
        <v>78</v>
      </c>
      <c r="B9" s="27" t="n">
        <f aca="false">B7+B8</f>
        <v>4920</v>
      </c>
      <c r="C9" s="27" t="n">
        <f aca="false">C7+C8</f>
        <v>5389.368</v>
      </c>
      <c r="D9" s="27" t="n">
        <f aca="false">D7+D8</f>
        <v>5903.86224</v>
      </c>
      <c r="E9" s="27" t="n">
        <f aca="false">E7+E8</f>
        <v>6467.8504992</v>
      </c>
      <c r="F9" s="27" t="n">
        <f aca="false">F7+F8</f>
        <v>7086.125747136</v>
      </c>
      <c r="G9" s="27" t="n">
        <f aca="false">G7+G8</f>
        <v>7763.94773570688</v>
      </c>
    </row>
    <row r="10" customFormat="false" ht="15" hidden="false" customHeight="false" outlineLevel="0" collapsed="false">
      <c r="A10" s="5" t="s">
        <v>79</v>
      </c>
      <c r="B10" s="13" t="n">
        <f aca="false">IF(B9=0,0,B8/B9)</f>
        <v>0.23</v>
      </c>
      <c r="C10" s="13" t="n">
        <f aca="false">IF(C9=0,0,C8/C9)</f>
        <v>0.226766477998904</v>
      </c>
      <c r="D10" s="13" t="n">
        <f aca="false">IF(D9=0,0,D8/D9)</f>
        <v>0.223565216521719</v>
      </c>
      <c r="E10" s="13" t="n">
        <f aca="false">IF(E9=0,0,E8/E9)</f>
        <v>0.220396266020112</v>
      </c>
      <c r="F10" s="13" t="n">
        <f aca="false">IF(F9=0,0,F8/F9)</f>
        <v>0.217259665164456</v>
      </c>
      <c r="G10" s="13" t="n">
        <f aca="false">IF(G9=0,0,G8/G9)</f>
        <v>0.214155441059972</v>
      </c>
    </row>
    <row r="11" customFormat="false" ht="15" hidden="false" customHeight="false" outlineLevel="0" collapsed="false">
      <c r="A11" s="5" t="s">
        <v>80</v>
      </c>
      <c r="B11" s="6" t="n">
        <f aca="false">Допущения!$C$11*(1+Допущения!$C$12)^B$4</f>
        <v>26355.2447552448</v>
      </c>
      <c r="C11" s="6" t="n">
        <f aca="false">Допущения!$C$11*(1+Допущения!$C$12)^C$4</f>
        <v>28727.2167832168</v>
      </c>
      <c r="D11" s="6" t="n">
        <f aca="false">Допущения!$C$11*(1+Допущения!$C$12)^D$4</f>
        <v>31312.6662937063</v>
      </c>
      <c r="E11" s="6" t="n">
        <f aca="false">Допущения!$C$11*(1+Допущения!$C$12)^E$4</f>
        <v>34130.8062601399</v>
      </c>
      <c r="F11" s="6" t="n">
        <f aca="false">Допущения!$C$11*(1+Допущения!$C$12)^F$4</f>
        <v>37202.5788235525</v>
      </c>
      <c r="G11" s="6" t="n">
        <f aca="false">Допущения!$C$11*(1+Допущения!$C$12)^G$4</f>
        <v>40550.8109176722</v>
      </c>
    </row>
    <row r="12" customFormat="false" ht="15" hidden="false" customHeight="false" outlineLevel="0" collapsed="false">
      <c r="A12" s="5" t="s">
        <v>81</v>
      </c>
      <c r="B12" s="13" t="n">
        <f aca="false">IF(B11=0,0,B7/B11)</f>
        <v>0.143743684992571</v>
      </c>
      <c r="C12" s="13" t="n">
        <f aca="false">IF(C11=0,0,C7/C11)</f>
        <v>0.145062434396172</v>
      </c>
      <c r="D12" s="13" t="n">
        <f aca="false">IF(D11=0,0,D7/D11)</f>
        <v>0.146393282418155</v>
      </c>
      <c r="E12" s="13" t="n">
        <f aca="false">IF(E11=0,0,E7/E11)</f>
        <v>0.147736340055019</v>
      </c>
      <c r="F12" s="13" t="n">
        <f aca="false">IF(F11=0,0,F7/F11)</f>
        <v>0.149091719321579</v>
      </c>
      <c r="G12" s="13" t="n">
        <f aca="false">IF(G11=0,0,G7/G11)</f>
        <v>0.150459533260309</v>
      </c>
    </row>
    <row r="13" customFormat="false" ht="15" hidden="false" customHeight="false" outlineLevel="0" collapsed="false">
      <c r="A13" s="5" t="s">
        <v>82</v>
      </c>
      <c r="B13" s="6" t="n">
        <f aca="false">Допущения!$C$16*(1+Допущения!$C$23)^B$4</f>
        <v>291</v>
      </c>
      <c r="C13" s="6" t="n">
        <f aca="false">Допущения!$C$16*(1+Допущения!$C$23)^C$4</f>
        <v>325.92</v>
      </c>
      <c r="D13" s="6" t="n">
        <f aca="false">Допущения!$C$16*(1+Допущения!$C$23)^D$4</f>
        <v>365.0304</v>
      </c>
      <c r="E13" s="6" t="n">
        <f aca="false">Допущения!$C$16*(1+Допущения!$C$23)^E$4</f>
        <v>408.834048</v>
      </c>
      <c r="F13" s="6" t="n">
        <f aca="false">Допущения!$C$16*(1+Допущения!$C$23)^F$4</f>
        <v>457.89413376</v>
      </c>
      <c r="G13" s="6" t="n">
        <f aca="false">Допущения!$C$16*(1+Допущения!$C$23)^G$4</f>
        <v>512.8414298112</v>
      </c>
    </row>
    <row r="14" customFormat="false" ht="15" hidden="false" customHeight="false" outlineLevel="0" collapsed="false">
      <c r="A14" s="5" t="s">
        <v>83</v>
      </c>
      <c r="B14" s="13" t="n">
        <f aca="false">(G9/B9)^(1/5)-1</f>
        <v>0.095528045792971</v>
      </c>
    </row>
    <row r="16" customFormat="false" ht="15" hidden="false" customHeight="false" outlineLevel="0" collapsed="false">
      <c r="A16" s="26" t="s">
        <v>84</v>
      </c>
    </row>
    <row r="17" customFormat="false" ht="15" hidden="false" customHeight="false" outlineLevel="0" collapsed="false">
      <c r="A17" s="5" t="s">
        <v>76</v>
      </c>
      <c r="B17" s="6" t="n">
        <f aca="false">Допущения!$C$7*Допущения!$C$8*(1+Допущения!$D$21)^B$4</f>
        <v>3788.4</v>
      </c>
      <c r="C17" s="6" t="n">
        <f aca="false">Допущения!$C$7*Допущения!$C$8*(1+Допущения!$D$21)^C$4</f>
        <v>4348.41555533911</v>
      </c>
      <c r="D17" s="6" t="n">
        <f aca="false">Допущения!$C$7*Допущения!$C$8*(1+Допущения!$D$21)^D$4</f>
        <v>4991.21471912025</v>
      </c>
      <c r="E17" s="6" t="n">
        <f aca="false">Допущения!$C$7*Допущения!$C$8*(1+Допущения!$D$21)^E$4</f>
        <v>5729.0348761113</v>
      </c>
      <c r="F17" s="6" t="n">
        <f aca="false">Допущения!$C$7*Допущения!$C$8*(1+Допущения!$D$21)^F$4</f>
        <v>6575.92238738324</v>
      </c>
      <c r="G17" s="6" t="n">
        <f aca="false">Допущения!$C$7*Допущения!$C$8*(1+Допущения!$D$21)^G$4</f>
        <v>7548</v>
      </c>
    </row>
    <row r="18" customFormat="false" ht="15" hidden="false" customHeight="false" outlineLevel="0" collapsed="false">
      <c r="A18" s="5" t="s">
        <v>77</v>
      </c>
      <c r="B18" s="6" t="n">
        <f aca="false">Допущения!$C$7*(1-Допущения!$C$8)*(1+Допущения!$D$22)^B$4</f>
        <v>1131.6</v>
      </c>
      <c r="C18" s="6" t="n">
        <f aca="false">Допущения!$C$7*(1-Допущения!$C$8)*(1+Допущения!$D$22)^C$4</f>
        <v>1422.48908429447</v>
      </c>
      <c r="D18" s="6" t="n">
        <f aca="false">Допущения!$C$7*(1-Допущения!$C$8)*(1+Допущения!$D$22)^D$4</f>
        <v>1788.15411358864</v>
      </c>
      <c r="E18" s="6" t="n">
        <f aca="false">Допущения!$C$7*(1-Допущения!$C$8)*(1+Допущения!$D$22)^E$4</f>
        <v>2247.81699153066</v>
      </c>
      <c r="F18" s="6" t="n">
        <f aca="false">Допущения!$C$7*(1-Допущения!$C$8)*(1+Допущения!$D$22)^F$4</f>
        <v>2825.64080412159</v>
      </c>
      <c r="G18" s="6" t="n">
        <f aca="false">Допущения!$C$7*(1-Допущения!$C$8)*(1+Допущения!$D$22)^G$4</f>
        <v>3552</v>
      </c>
    </row>
    <row r="19" customFormat="false" ht="15" hidden="false" customHeight="false" outlineLevel="0" collapsed="false">
      <c r="A19" s="3" t="s">
        <v>78</v>
      </c>
      <c r="B19" s="27" t="n">
        <f aca="false">B17+B18</f>
        <v>4920</v>
      </c>
      <c r="C19" s="27" t="n">
        <f aca="false">C17+C18</f>
        <v>5770.90463963358</v>
      </c>
      <c r="D19" s="27" t="n">
        <f aca="false">D17+D18</f>
        <v>6779.3688327089</v>
      </c>
      <c r="E19" s="27" t="n">
        <f aca="false">E17+E18</f>
        <v>7976.85186764196</v>
      </c>
      <c r="F19" s="27" t="n">
        <f aca="false">F17+F18</f>
        <v>9401.56319150483</v>
      </c>
      <c r="G19" s="27" t="n">
        <f aca="false">G17+G18</f>
        <v>11100</v>
      </c>
    </row>
    <row r="20" customFormat="false" ht="15" hidden="false" customHeight="false" outlineLevel="0" collapsed="false">
      <c r="A20" s="5" t="s">
        <v>79</v>
      </c>
      <c r="B20" s="13" t="n">
        <f aca="false">IF(B19=0,0,B18/B19)</f>
        <v>0.23</v>
      </c>
      <c r="C20" s="13" t="n">
        <f aca="false">IF(C19=0,0,C18/C19)</f>
        <v>0.246493257664501</v>
      </c>
      <c r="D20" s="13" t="n">
        <f aca="false">IF(D19=0,0,D18/D19)</f>
        <v>0.263764099241984</v>
      </c>
      <c r="E20" s="13" t="n">
        <f aca="false">IF(E19=0,0,E18/E19)</f>
        <v>0.281792495188348</v>
      </c>
      <c r="F20" s="13" t="n">
        <f aca="false">IF(F19=0,0,F18/F19)</f>
        <v>0.300550104973481</v>
      </c>
      <c r="G20" s="13" t="n">
        <f aca="false">IF(G19=0,0,G18/G19)</f>
        <v>0.32</v>
      </c>
    </row>
    <row r="21" customFormat="false" ht="15" hidden="false" customHeight="false" outlineLevel="0" collapsed="false">
      <c r="A21" s="5" t="s">
        <v>80</v>
      </c>
      <c r="B21" s="6" t="n">
        <f aca="false">Допущения!$C$11*(1+Допущения!$C$12)^B$4</f>
        <v>26355.2447552448</v>
      </c>
      <c r="C21" s="6" t="n">
        <f aca="false">Допущения!$C$11*(1+Допущения!$C$12)^C$4</f>
        <v>28727.2167832168</v>
      </c>
      <c r="D21" s="6" t="n">
        <f aca="false">Допущения!$C$11*(1+Допущения!$C$12)^D$4</f>
        <v>31312.6662937063</v>
      </c>
      <c r="E21" s="6" t="n">
        <f aca="false">Допущения!$C$11*(1+Допущения!$C$12)^E$4</f>
        <v>34130.8062601399</v>
      </c>
      <c r="F21" s="6" t="n">
        <f aca="false">Допущения!$C$11*(1+Допущения!$C$12)^F$4</f>
        <v>37202.5788235525</v>
      </c>
      <c r="G21" s="6" t="n">
        <f aca="false">Допущения!$C$11*(1+Допущения!$C$12)^G$4</f>
        <v>40550.8109176722</v>
      </c>
    </row>
    <row r="22" customFormat="false" ht="15" hidden="false" customHeight="false" outlineLevel="0" collapsed="false">
      <c r="A22" s="5" t="s">
        <v>81</v>
      </c>
      <c r="B22" s="13" t="n">
        <f aca="false">IF(B21=0,0,B17/B21)</f>
        <v>0.143743684992571</v>
      </c>
      <c r="C22" s="13" t="n">
        <f aca="false">IF(C21=0,0,C17/C21)</f>
        <v>0.151369190693042</v>
      </c>
      <c r="D22" s="13" t="n">
        <f aca="false">IF(D21=0,0,D17/D21)</f>
        <v>0.159399224336366</v>
      </c>
      <c r="E22" s="13" t="n">
        <f aca="false">IF(E21=0,0,E17/E21)</f>
        <v>0.167855245857524</v>
      </c>
      <c r="F22" s="13" t="n">
        <f aca="false">IF(F21=0,0,F17/F21)</f>
        <v>0.176759853626602</v>
      </c>
      <c r="G22" s="13" t="n">
        <f aca="false">IF(G21=0,0,G17/G21)</f>
        <v>0.186136844841999</v>
      </c>
    </row>
    <row r="23" customFormat="false" ht="15" hidden="false" customHeight="false" outlineLevel="0" collapsed="false">
      <c r="A23" s="5" t="s">
        <v>82</v>
      </c>
      <c r="B23" s="6" t="n">
        <f aca="false">Допущения!$C$16*(1+Допущения!$D$23)^B$4</f>
        <v>291</v>
      </c>
      <c r="C23" s="6" t="n">
        <f aca="false">Допущения!$C$16*(1+Допущения!$D$23)^C$4</f>
        <v>349.2</v>
      </c>
      <c r="D23" s="6" t="n">
        <f aca="false">Допущения!$C$16*(1+Допущения!$D$23)^D$4</f>
        <v>419.04</v>
      </c>
      <c r="E23" s="6" t="n">
        <f aca="false">Допущения!$C$16*(1+Допущения!$D$23)^E$4</f>
        <v>502.848</v>
      </c>
      <c r="F23" s="6" t="n">
        <f aca="false">Допущения!$C$16*(1+Допущения!$D$23)^F$4</f>
        <v>603.4176</v>
      </c>
      <c r="G23" s="6" t="n">
        <f aca="false">Допущения!$C$16*(1+Допущения!$D$23)^G$4</f>
        <v>724.10112</v>
      </c>
    </row>
    <row r="24" customFormat="false" ht="15" hidden="false" customHeight="false" outlineLevel="0" collapsed="false">
      <c r="A24" s="5" t="s">
        <v>83</v>
      </c>
      <c r="B24" s="13" t="n">
        <f aca="false">(G19/B19)^(1/5)-1</f>
        <v>0.176715773857557</v>
      </c>
    </row>
    <row r="26" customFormat="false" ht="15" hidden="false" customHeight="false" outlineLevel="0" collapsed="false">
      <c r="A26" s="26" t="s">
        <v>85</v>
      </c>
    </row>
    <row r="27" customFormat="false" ht="15" hidden="false" customHeight="false" outlineLevel="0" collapsed="false">
      <c r="A27" s="5" t="s">
        <v>76</v>
      </c>
      <c r="B27" s="6" t="n">
        <f aca="false">Допущения!$C$7*Допущения!$C$8*(1+Допущения!$E$21)^B$4</f>
        <v>3788.4</v>
      </c>
      <c r="C27" s="6" t="n">
        <f aca="false">Допущения!$C$7*Допущения!$C$8*(1+Допущения!$E$21)^C$4</f>
        <v>4470.312</v>
      </c>
      <c r="D27" s="6" t="n">
        <f aca="false">Допущения!$C$7*Допущения!$C$8*(1+Допущения!$E$21)^D$4</f>
        <v>5274.96816</v>
      </c>
      <c r="E27" s="6" t="n">
        <f aca="false">Допущения!$C$7*Допущения!$C$8*(1+Допущения!$E$21)^E$4</f>
        <v>6224.4624288</v>
      </c>
      <c r="F27" s="6" t="n">
        <f aca="false">Допущения!$C$7*Допущения!$C$8*(1+Допущения!$E$21)^F$4</f>
        <v>7344.865665984</v>
      </c>
      <c r="G27" s="6" t="n">
        <f aca="false">Допущения!$C$7*Допущения!$C$8*(1+Допущения!$E$21)^G$4</f>
        <v>8666.94148586112</v>
      </c>
    </row>
    <row r="28" customFormat="false" ht="15" hidden="false" customHeight="false" outlineLevel="0" collapsed="false">
      <c r="A28" s="5" t="s">
        <v>77</v>
      </c>
      <c r="B28" s="6" t="n">
        <f aca="false">Допущения!$C$7*(1-Допущения!$C$8)*(1+Допущения!$E$22)^B$4</f>
        <v>1131.6</v>
      </c>
      <c r="C28" s="6" t="n">
        <f aca="false">Допущения!$C$7*(1-Допущения!$C$8)*(1+Допущения!$E$22)^C$4</f>
        <v>1448.448</v>
      </c>
      <c r="D28" s="6" t="n">
        <f aca="false">Допущения!$C$7*(1-Допущения!$C$8)*(1+Допущения!$E$22)^D$4</f>
        <v>1854.01344</v>
      </c>
      <c r="E28" s="6" t="n">
        <f aca="false">Допущения!$C$7*(1-Допущения!$C$8)*(1+Допущения!$E$22)^E$4</f>
        <v>2373.1372032</v>
      </c>
      <c r="F28" s="6" t="n">
        <f aca="false">Допущения!$C$7*(1-Допущения!$C$8)*(1+Допущения!$E$22)^F$4</f>
        <v>3037.615620096</v>
      </c>
      <c r="G28" s="6" t="n">
        <f aca="false">Допущения!$C$7*(1-Допущения!$C$8)*(1+Допущения!$E$22)^G$4</f>
        <v>3888.14799372288</v>
      </c>
    </row>
    <row r="29" customFormat="false" ht="15" hidden="false" customHeight="false" outlineLevel="0" collapsed="false">
      <c r="A29" s="3" t="s">
        <v>78</v>
      </c>
      <c r="B29" s="27" t="n">
        <f aca="false">B27+B28</f>
        <v>4920</v>
      </c>
      <c r="C29" s="27" t="n">
        <f aca="false">C27+C28</f>
        <v>5918.76</v>
      </c>
      <c r="D29" s="27" t="n">
        <f aca="false">D27+D28</f>
        <v>7128.9816</v>
      </c>
      <c r="E29" s="27" t="n">
        <f aca="false">E27+E28</f>
        <v>8597.599632</v>
      </c>
      <c r="F29" s="27" t="n">
        <f aca="false">F27+F28</f>
        <v>10382.48128608</v>
      </c>
      <c r="G29" s="27" t="n">
        <f aca="false">G27+G28</f>
        <v>12555.089479584</v>
      </c>
    </row>
    <row r="30" customFormat="false" ht="15" hidden="false" customHeight="false" outlineLevel="0" collapsed="false">
      <c r="A30" s="5" t="s">
        <v>79</v>
      </c>
      <c r="B30" s="13" t="n">
        <f aca="false">IF(B29=0,0,B28/B29)</f>
        <v>0.23</v>
      </c>
      <c r="C30" s="13" t="n">
        <f aca="false">IF(C29=0,0,C28/C29)</f>
        <v>0.244721529509559</v>
      </c>
      <c r="D30" s="13" t="n">
        <f aca="false">IF(D29=0,0,D28/D29)</f>
        <v>0.260067081671245</v>
      </c>
      <c r="E30" s="13" t="n">
        <f aca="false">IF(E29=0,0,E28/E29)</f>
        <v>0.276023227967869</v>
      </c>
      <c r="F30" s="13" t="n">
        <f aca="false">IF(F29=0,0,F28/F29)</f>
        <v>0.292571258873213</v>
      </c>
      <c r="G30" s="13" t="n">
        <f aca="false">IF(G29=0,0,G28/G29)</f>
        <v>0.309686999845397</v>
      </c>
    </row>
    <row r="31" customFormat="false" ht="15" hidden="false" customHeight="false" outlineLevel="0" collapsed="false">
      <c r="A31" s="5" t="s">
        <v>80</v>
      </c>
      <c r="B31" s="6" t="n">
        <f aca="false">Допущения!$C$11*(1+Допущения!$C$12)^B$4</f>
        <v>26355.2447552448</v>
      </c>
      <c r="C31" s="6" t="n">
        <f aca="false">Допущения!$C$11*(1+Допущения!$C$12)^C$4</f>
        <v>28727.2167832168</v>
      </c>
      <c r="D31" s="6" t="n">
        <f aca="false">Допущения!$C$11*(1+Допущения!$C$12)^D$4</f>
        <v>31312.6662937063</v>
      </c>
      <c r="E31" s="6" t="n">
        <f aca="false">Допущения!$C$11*(1+Допущения!$C$12)^E$4</f>
        <v>34130.8062601399</v>
      </c>
      <c r="F31" s="6" t="n">
        <f aca="false">Допущения!$C$11*(1+Допущения!$C$12)^F$4</f>
        <v>37202.5788235525</v>
      </c>
      <c r="G31" s="6" t="n">
        <f aca="false">Допущения!$C$11*(1+Допущения!$C$12)^G$4</f>
        <v>40550.8109176722</v>
      </c>
    </row>
    <row r="32" customFormat="false" ht="15" hidden="false" customHeight="false" outlineLevel="0" collapsed="false">
      <c r="A32" s="5" t="s">
        <v>81</v>
      </c>
      <c r="B32" s="13" t="n">
        <f aca="false">IF(B31=0,0,B27/B31)</f>
        <v>0.143743684992571</v>
      </c>
      <c r="C32" s="13" t="n">
        <f aca="false">IF(C31=0,0,C27/C31)</f>
        <v>0.155612429624985</v>
      </c>
      <c r="D32" s="13" t="n">
        <f aca="false">IF(D31=0,0,D27/D31)</f>
        <v>0.168461162346314</v>
      </c>
      <c r="E32" s="13" t="n">
        <f aca="false">IF(E31=0,0,E27/E31)</f>
        <v>0.182370799604266</v>
      </c>
      <c r="F32" s="13" t="n">
        <f aca="false">IF(F31=0,0,F27/F31)</f>
        <v>0.197428939021132</v>
      </c>
      <c r="G32" s="13" t="n">
        <f aca="false">IF(G31=0,0,G27/G31)</f>
        <v>0.2137304110504</v>
      </c>
    </row>
    <row r="33" customFormat="false" ht="15" hidden="false" customHeight="false" outlineLevel="0" collapsed="false">
      <c r="A33" s="5" t="s">
        <v>82</v>
      </c>
      <c r="B33" s="6" t="n">
        <f aca="false">Допущения!$C$16*(1+Допущения!$E$23)^B$4</f>
        <v>291</v>
      </c>
      <c r="C33" s="6" t="n">
        <f aca="false">Допущения!$C$16*(1+Допущения!$E$23)^C$4</f>
        <v>363.75</v>
      </c>
      <c r="D33" s="6" t="n">
        <f aca="false">Допущения!$C$16*(1+Допущения!$E$23)^D$4</f>
        <v>454.6875</v>
      </c>
      <c r="E33" s="6" t="n">
        <f aca="false">Допущения!$C$16*(1+Допущения!$E$23)^E$4</f>
        <v>568.359375</v>
      </c>
      <c r="F33" s="6" t="n">
        <f aca="false">Допущения!$C$16*(1+Допущения!$E$23)^F$4</f>
        <v>710.44921875</v>
      </c>
      <c r="G33" s="6" t="n">
        <f aca="false">Допущения!$C$16*(1+Допущения!$E$23)^G$4</f>
        <v>888.0615234375</v>
      </c>
    </row>
    <row r="34" customFormat="false" ht="15" hidden="false" customHeight="false" outlineLevel="0" collapsed="false">
      <c r="A34" s="5" t="s">
        <v>83</v>
      </c>
      <c r="B34" s="13" t="n">
        <f aca="false">(G29/B29)^(1/5)-1</f>
        <v>0.206065631717967</v>
      </c>
    </row>
    <row r="36" customFormat="false" ht="15" hidden="false" customHeight="false" outlineLevel="0" collapsed="false">
      <c r="A36" s="28" t="s">
        <v>86</v>
      </c>
    </row>
    <row r="37" customFormat="false" ht="15" hidden="false" customHeight="false" outlineLevel="0" collapsed="false">
      <c r="A37" s="5" t="s">
        <v>76</v>
      </c>
      <c r="B37" s="7" t="n">
        <f aca="false">CHOOSE(Допущения!$C$4,B7,B17,B27)</f>
        <v>3788.4</v>
      </c>
      <c r="C37" s="7" t="n">
        <f aca="false">CHOOSE(Допущения!$C$4,C7,C17,C27)</f>
        <v>4348.41555533911</v>
      </c>
      <c r="D37" s="7" t="n">
        <f aca="false">CHOOSE(Допущения!$C$4,D7,D17,D27)</f>
        <v>4991.21471912025</v>
      </c>
      <c r="E37" s="7" t="n">
        <f aca="false">CHOOSE(Допущения!$C$4,E7,E17,E27)</f>
        <v>5729.0348761113</v>
      </c>
      <c r="F37" s="7" t="n">
        <f aca="false">CHOOSE(Допущения!$C$4,F7,F17,F27)</f>
        <v>6575.92238738324</v>
      </c>
      <c r="G37" s="7" t="n">
        <f aca="false">CHOOSE(Допущения!$C$4,G7,G17,G27)</f>
        <v>7548</v>
      </c>
    </row>
    <row r="38" customFormat="false" ht="15" hidden="false" customHeight="false" outlineLevel="0" collapsed="false">
      <c r="A38" s="5" t="s">
        <v>77</v>
      </c>
      <c r="B38" s="7" t="n">
        <f aca="false">CHOOSE(Допущения!$C$4,B8,B18,B28)</f>
        <v>1131.6</v>
      </c>
      <c r="C38" s="7" t="n">
        <f aca="false">CHOOSE(Допущения!$C$4,C8,C18,C28)</f>
        <v>1422.48908429447</v>
      </c>
      <c r="D38" s="7" t="n">
        <f aca="false">CHOOSE(Допущения!$C$4,D8,D18,D28)</f>
        <v>1788.15411358864</v>
      </c>
      <c r="E38" s="7" t="n">
        <f aca="false">CHOOSE(Допущения!$C$4,E8,E18,E28)</f>
        <v>2247.81699153066</v>
      </c>
      <c r="F38" s="7" t="n">
        <f aca="false">CHOOSE(Допущения!$C$4,F8,F18,F28)</f>
        <v>2825.64080412159</v>
      </c>
      <c r="G38" s="7" t="n">
        <f aca="false">CHOOSE(Допущения!$C$4,G8,G18,G28)</f>
        <v>3552</v>
      </c>
    </row>
    <row r="39" customFormat="false" ht="15" hidden="false" customHeight="false" outlineLevel="0" collapsed="false">
      <c r="A39" s="3" t="s">
        <v>78</v>
      </c>
      <c r="B39" s="7" t="n">
        <f aca="false">CHOOSE(Допущения!$C$4,B9,B19,B29)</f>
        <v>4920</v>
      </c>
      <c r="C39" s="7" t="n">
        <f aca="false">CHOOSE(Допущения!$C$4,C9,C19,C29)</f>
        <v>5770.90463963358</v>
      </c>
      <c r="D39" s="7" t="n">
        <f aca="false">CHOOSE(Допущения!$C$4,D9,D19,D29)</f>
        <v>6779.3688327089</v>
      </c>
      <c r="E39" s="7" t="n">
        <f aca="false">CHOOSE(Допущения!$C$4,E9,E19,E29)</f>
        <v>7976.85186764196</v>
      </c>
      <c r="F39" s="7" t="n">
        <f aca="false">CHOOSE(Допущения!$C$4,F9,F19,F29)</f>
        <v>9401.56319150483</v>
      </c>
      <c r="G39" s="7" t="n">
        <f aca="false">CHOOSE(Допущения!$C$4,G9,G19,G29)</f>
        <v>11100</v>
      </c>
    </row>
    <row r="40" customFormat="false" ht="15" hidden="false" customHeight="false" outlineLevel="0" collapsed="false">
      <c r="A40" s="5" t="s">
        <v>79</v>
      </c>
      <c r="B40" s="13" t="n">
        <f aca="false">CHOOSE(Допущения!$C$4,B10,B20,B30)</f>
        <v>0.23</v>
      </c>
      <c r="C40" s="13" t="n">
        <f aca="false">CHOOSE(Допущения!$C$4,C10,C20,C30)</f>
        <v>0.246493257664501</v>
      </c>
      <c r="D40" s="13" t="n">
        <f aca="false">CHOOSE(Допущения!$C$4,D10,D20,D30)</f>
        <v>0.263764099241984</v>
      </c>
      <c r="E40" s="13" t="n">
        <f aca="false">CHOOSE(Допущения!$C$4,E10,E20,E30)</f>
        <v>0.281792495188348</v>
      </c>
      <c r="F40" s="13" t="n">
        <f aca="false">CHOOSE(Допущения!$C$4,F10,F20,F30)</f>
        <v>0.300550104973481</v>
      </c>
      <c r="G40" s="13" t="n">
        <f aca="false">CHOOSE(Допущения!$C$4,G10,G20,G30)</f>
        <v>0.32</v>
      </c>
    </row>
    <row r="41" customFormat="false" ht="15" hidden="false" customHeight="false" outlineLevel="0" collapsed="false">
      <c r="A41" s="5" t="s">
        <v>80</v>
      </c>
      <c r="B41" s="7" t="n">
        <f aca="false">CHOOSE(Допущения!$C$4,B11,B21,B31)</f>
        <v>26355.2447552448</v>
      </c>
      <c r="C41" s="7" t="n">
        <f aca="false">CHOOSE(Допущения!$C$4,C11,C21,C31)</f>
        <v>28727.2167832168</v>
      </c>
      <c r="D41" s="7" t="n">
        <f aca="false">CHOOSE(Допущения!$C$4,D11,D21,D31)</f>
        <v>31312.6662937063</v>
      </c>
      <c r="E41" s="7" t="n">
        <f aca="false">CHOOSE(Допущения!$C$4,E11,E21,E31)</f>
        <v>34130.8062601399</v>
      </c>
      <c r="F41" s="7" t="n">
        <f aca="false">CHOOSE(Допущения!$C$4,F11,F21,F31)</f>
        <v>37202.5788235525</v>
      </c>
      <c r="G41" s="7" t="n">
        <f aca="false">CHOOSE(Допущения!$C$4,G11,G21,G31)</f>
        <v>40550.8109176722</v>
      </c>
    </row>
    <row r="42" customFormat="false" ht="15" hidden="false" customHeight="false" outlineLevel="0" collapsed="false">
      <c r="A42" s="5" t="s">
        <v>81</v>
      </c>
      <c r="B42" s="13" t="n">
        <f aca="false">CHOOSE(Допущения!$C$4,B12,B22,B32)</f>
        <v>0.143743684992571</v>
      </c>
      <c r="C42" s="13" t="n">
        <f aca="false">CHOOSE(Допущения!$C$4,C12,C22,C32)</f>
        <v>0.151369190693042</v>
      </c>
      <c r="D42" s="13" t="n">
        <f aca="false">CHOOSE(Допущения!$C$4,D12,D22,D32)</f>
        <v>0.159399224336366</v>
      </c>
      <c r="E42" s="13" t="n">
        <f aca="false">CHOOSE(Допущения!$C$4,E12,E22,E32)</f>
        <v>0.167855245857524</v>
      </c>
      <c r="F42" s="13" t="n">
        <f aca="false">CHOOSE(Допущения!$C$4,F12,F22,F32)</f>
        <v>0.176759853626602</v>
      </c>
      <c r="G42" s="13" t="n">
        <f aca="false">CHOOSE(Допущения!$C$4,G12,G22,G32)</f>
        <v>0.186136844841999</v>
      </c>
    </row>
    <row r="43" customFormat="false" ht="15" hidden="false" customHeight="false" outlineLevel="0" collapsed="false">
      <c r="A43" s="5" t="s">
        <v>82</v>
      </c>
      <c r="B43" s="7" t="n">
        <f aca="false">CHOOSE(Допущения!$C$4,B13,B23,B33)</f>
        <v>291</v>
      </c>
      <c r="C43" s="7" t="n">
        <f aca="false">CHOOSE(Допущения!$C$4,C13,C23,C33)</f>
        <v>349.2</v>
      </c>
      <c r="D43" s="7" t="n">
        <f aca="false">CHOOSE(Допущения!$C$4,D13,D23,D33)</f>
        <v>419.04</v>
      </c>
      <c r="E43" s="7" t="n">
        <f aca="false">CHOOSE(Допущения!$C$4,E13,E23,E33)</f>
        <v>502.848</v>
      </c>
      <c r="F43" s="7" t="n">
        <f aca="false">CHOOSE(Допущения!$C$4,F13,F23,F33)</f>
        <v>603.4176</v>
      </c>
      <c r="G43" s="7" t="n">
        <f aca="false">CHOOSE(Допущения!$C$4,G13,G23,G33)</f>
        <v>724.10112</v>
      </c>
    </row>
    <row r="44" customFormat="false" ht="15" hidden="false" customHeight="false" outlineLevel="0" collapsed="false">
      <c r="A44" s="5" t="s">
        <v>83</v>
      </c>
      <c r="B44" s="13" t="n">
        <f aca="false">(G39/B39)^(1/5)-1</f>
        <v>0.176715773857557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9" t="s">
        <v>88</v>
      </c>
      <c r="B2" s="23" t="str">
        <f aca="false">Допущения!C3</f>
        <v>Базовый</v>
      </c>
    </row>
    <row r="4" customFormat="false" ht="31.5" hidden="false" customHeight="true" outlineLevel="0" collapsed="false">
      <c r="A4" s="10" t="s">
        <v>12</v>
      </c>
      <c r="B4" s="10" t="s">
        <v>13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14</v>
      </c>
      <c r="H4" s="10" t="s">
        <v>89</v>
      </c>
      <c r="I4" s="10" t="s">
        <v>90</v>
      </c>
      <c r="J4" s="10" t="s">
        <v>91</v>
      </c>
      <c r="K4" s="10" t="s">
        <v>92</v>
      </c>
    </row>
    <row r="5" customFormat="false" ht="15" hidden="false" customHeight="false" outlineLevel="0" collapsed="false">
      <c r="A5" s="5" t="s">
        <v>54</v>
      </c>
      <c r="B5" s="6" t="n">
        <f aca="false">Допущения!$B$28*Допущения!$C$15/1000</f>
        <v>2469.56325</v>
      </c>
      <c r="C5" s="6" t="n">
        <f aca="false">$B5*(1+Допущения!$F$28)^Рынок!C$4</f>
        <v>2790.6064725</v>
      </c>
      <c r="D5" s="6" t="n">
        <f aca="false">$B5*(1+Допущения!$F$28)^Рынок!D$4</f>
        <v>3153.385313925</v>
      </c>
      <c r="E5" s="6" t="n">
        <f aca="false">$B5*(1+Допущения!$F$28)^Рынок!E$4</f>
        <v>3563.32540473525</v>
      </c>
      <c r="F5" s="6" t="n">
        <f aca="false">$B5*(1+Допущения!$F$28)^Рынок!F$4</f>
        <v>4026.55770735083</v>
      </c>
      <c r="G5" s="6" t="n">
        <f aca="false">$B5*(1+Допущения!$F$28)^Рынок!G$4</f>
        <v>4550.01020930644</v>
      </c>
      <c r="H5" s="8" t="n">
        <f aca="false">Допущения!F28</f>
        <v>0.13</v>
      </c>
      <c r="I5" s="6" t="n">
        <f aca="false">$B5*(1+Допущения!C28)^5</f>
        <v>3799.7291745907</v>
      </c>
      <c r="J5" s="6" t="n">
        <f aca="false">$B5*(1+Допущения!D28)^5</f>
        <v>4550.01020930644</v>
      </c>
      <c r="K5" s="6" t="n">
        <f aca="false">$B5*(1+Допущения!E28)^5</f>
        <v>5414.38909649941</v>
      </c>
    </row>
    <row r="6" customFormat="false" ht="15" hidden="false" customHeight="false" outlineLevel="0" collapsed="false">
      <c r="A6" s="5" t="s">
        <v>55</v>
      </c>
      <c r="B6" s="6" t="n">
        <f aca="false">Допущения!$B$29*Допущения!$C$15/1000</f>
        <v>313.78655</v>
      </c>
      <c r="C6" s="6" t="n">
        <f aca="false">$B6*(1+Допущения!$F$29)^Рынок!C$4</f>
        <v>382.819591</v>
      </c>
      <c r="D6" s="6" t="n">
        <f aca="false">$B6*(1+Допущения!$F$29)^Рынок!D$4</f>
        <v>467.03990102</v>
      </c>
      <c r="E6" s="6" t="n">
        <f aca="false">$B6*(1+Допущения!$F$29)^Рынок!E$4</f>
        <v>569.7886792444</v>
      </c>
      <c r="F6" s="6" t="n">
        <f aca="false">$B6*(1+Допущения!$F$29)^Рынок!F$4</f>
        <v>695.142188678168</v>
      </c>
      <c r="G6" s="6" t="n">
        <f aca="false">$B6*(1+Допущения!$F$29)^Рынок!G$4</f>
        <v>848.073470187365</v>
      </c>
      <c r="H6" s="8" t="n">
        <f aca="false">Допущения!F29</f>
        <v>0.22</v>
      </c>
      <c r="I6" s="6" t="n">
        <f aca="false">$B6*(1+Допущения!C29)^5</f>
        <v>552.999116692521</v>
      </c>
      <c r="J6" s="6" t="n">
        <f aca="false">$B6*(1+Допущения!D29)^5</f>
        <v>848.073470187365</v>
      </c>
      <c r="K6" s="6" t="n">
        <f aca="false">$B6*(1+Допущения!E29)^5</f>
        <v>1165.0674950915</v>
      </c>
    </row>
    <row r="7" customFormat="false" ht="15" hidden="false" customHeight="false" outlineLevel="0" collapsed="false">
      <c r="A7" s="5" t="s">
        <v>56</v>
      </c>
      <c r="B7" s="6" t="n">
        <f aca="false">Допущения!$B$30*Допущения!$C$15/1000</f>
        <v>101.84895</v>
      </c>
      <c r="C7" s="6" t="n">
        <f aca="false">$B7*(1+Допущения!$F$30)^Рынок!C$4</f>
        <v>127.3111875</v>
      </c>
      <c r="D7" s="6" t="n">
        <f aca="false">$B7*(1+Допущения!$F$30)^Рынок!D$4</f>
        <v>159.138984375</v>
      </c>
      <c r="E7" s="6" t="n">
        <f aca="false">$B7*(1+Допущения!$F$30)^Рынок!E$4</f>
        <v>198.92373046875</v>
      </c>
      <c r="F7" s="6" t="n">
        <f aca="false">$B7*(1+Допущения!$F$30)^Рынок!F$4</f>
        <v>248.654663085938</v>
      </c>
      <c r="G7" s="6" t="n">
        <f aca="false">$B7*(1+Допущения!$F$30)^Рынок!G$4</f>
        <v>310.818328857422</v>
      </c>
      <c r="H7" s="8" t="n">
        <f aca="false">Допущения!F30</f>
        <v>0.25</v>
      </c>
      <c r="I7" s="6" t="n">
        <f aca="false">$B7*(1+Допущения!C30)^5</f>
        <v>179.492649975153</v>
      </c>
      <c r="J7" s="6" t="n">
        <f aca="false">$B7*(1+Допущения!D30)^5</f>
        <v>310.818328857422</v>
      </c>
      <c r="K7" s="6" t="n">
        <f aca="false">$B7*(1+Допущения!E30)^5</f>
        <v>456.694097374266</v>
      </c>
    </row>
    <row r="8" customFormat="false" ht="15" hidden="false" customHeight="false" outlineLevel="0" collapsed="false">
      <c r="A8" s="5" t="s">
        <v>57</v>
      </c>
      <c r="B8" s="6" t="n">
        <f aca="false">Допущения!$B$31*Допущения!$C$15/1000</f>
        <v>123.5955</v>
      </c>
      <c r="C8" s="6" t="n">
        <f aca="false">$B8*(1+Допущения!$F$31)^Рынок!C$4</f>
        <v>138.42696</v>
      </c>
      <c r="D8" s="6" t="n">
        <f aca="false">$B8*(1+Допущения!$F$31)^Рынок!D$4</f>
        <v>155.0381952</v>
      </c>
      <c r="E8" s="6" t="n">
        <f aca="false">$B8*(1+Допущения!$F$31)^Рынок!E$4</f>
        <v>173.642778624</v>
      </c>
      <c r="F8" s="6" t="n">
        <f aca="false">$B8*(1+Допущения!$F$31)^Рынок!F$4</f>
        <v>194.47991205888</v>
      </c>
      <c r="G8" s="6" t="n">
        <f aca="false">$B8*(1+Допущения!$F$31)^Рынок!G$4</f>
        <v>217.817501505946</v>
      </c>
      <c r="H8" s="8" t="n">
        <f aca="false">Допущения!F31</f>
        <v>0.12</v>
      </c>
      <c r="I8" s="6" t="n">
        <f aca="false">$B8*(1+Допущения!C31)^5</f>
        <v>165.398659376261</v>
      </c>
      <c r="J8" s="6" t="n">
        <f aca="false">$B8*(1+Допущения!D31)^5</f>
        <v>217.817501505946</v>
      </c>
      <c r="K8" s="6" t="n">
        <f aca="false">$B8*(1+Допущения!E31)^5</f>
        <v>282.756563830574</v>
      </c>
    </row>
    <row r="9" customFormat="false" ht="15" hidden="false" customHeight="false" outlineLevel="0" collapsed="false">
      <c r="A9" s="3" t="s">
        <v>93</v>
      </c>
      <c r="B9" s="27" t="n">
        <f aca="false">SUM(B5:B8)</f>
        <v>3008.79425</v>
      </c>
      <c r="C9" s="27" t="n">
        <f aca="false">SUM(C5:C8)</f>
        <v>3439.164211</v>
      </c>
      <c r="D9" s="27" t="n">
        <f aca="false">SUM(D5:D8)</f>
        <v>3934.60239452</v>
      </c>
      <c r="E9" s="27" t="n">
        <f aca="false">SUM(E5:E8)</f>
        <v>4505.6805930724</v>
      </c>
      <c r="F9" s="27" t="n">
        <f aca="false">SUM(F5:F8)</f>
        <v>5164.83447117382</v>
      </c>
      <c r="G9" s="27" t="n">
        <f aca="false">SUM(G5:G8)</f>
        <v>5926.71950985717</v>
      </c>
      <c r="I9" s="27" t="n">
        <f aca="false">SUM(I5:I8)</f>
        <v>4697.61960063463</v>
      </c>
      <c r="J9" s="27" t="n">
        <f aca="false">SUM(J5:J8)</f>
        <v>5926.71950985717</v>
      </c>
      <c r="K9" s="27" t="n">
        <f aca="false">SUM(K5:K8)</f>
        <v>7318.90725279575</v>
      </c>
    </row>
    <row r="10" customFormat="false" ht="15" hidden="false" customHeight="false" outlineLevel="0" collapsed="false">
      <c r="A10" s="5" t="s">
        <v>94</v>
      </c>
      <c r="B10" s="6" t="n">
        <f aca="false">Рынок!B39</f>
        <v>4920</v>
      </c>
      <c r="C10" s="6" t="n">
        <f aca="false">Рынок!C39</f>
        <v>5770.90463963358</v>
      </c>
      <c r="D10" s="6" t="n">
        <f aca="false">Рынок!D39</f>
        <v>6779.3688327089</v>
      </c>
      <c r="E10" s="6" t="n">
        <f aca="false">Рынок!E39</f>
        <v>7976.85186764196</v>
      </c>
      <c r="F10" s="6" t="n">
        <f aca="false">Рынок!F39</f>
        <v>9401.56319150483</v>
      </c>
      <c r="G10" s="6" t="n">
        <f aca="false">Рынок!G39</f>
        <v>11100</v>
      </c>
    </row>
    <row r="11" customFormat="false" ht="26.85" hidden="false" customHeight="false" outlineLevel="0" collapsed="false">
      <c r="A11" s="5" t="s">
        <v>95</v>
      </c>
      <c r="B11" s="7" t="n">
        <f aca="false">B10-B9</f>
        <v>1911.20575</v>
      </c>
      <c r="C11" s="7" t="n">
        <f aca="false">C10-C9</f>
        <v>2331.74042863358</v>
      </c>
      <c r="D11" s="7" t="n">
        <f aca="false">D10-D9</f>
        <v>2844.7664381889</v>
      </c>
      <c r="E11" s="7" t="n">
        <f aca="false">E10-E9</f>
        <v>3471.17127456956</v>
      </c>
      <c r="F11" s="7" t="n">
        <f aca="false">F10-F9</f>
        <v>4236.72872033101</v>
      </c>
      <c r="G11" s="7" t="n">
        <f aca="false">G10-G9</f>
        <v>5173.28049014282</v>
      </c>
    </row>
    <row r="12" customFormat="false" ht="15" hidden="false" customHeight="false" outlineLevel="0" collapsed="false">
      <c r="A12" s="5" t="s">
        <v>96</v>
      </c>
      <c r="B12" s="13" t="n">
        <f aca="false">IF(B10=0,0,B9/B10)</f>
        <v>0.611543546747968</v>
      </c>
      <c r="C12" s="13" t="n">
        <f aca="false">IF(C10=0,0,C9/C10)</f>
        <v>0.595948889430682</v>
      </c>
      <c r="D12" s="13" t="n">
        <f aca="false">IF(D10=0,0,D9/D10)</f>
        <v>0.580378865881503</v>
      </c>
      <c r="E12" s="13" t="n">
        <f aca="false">IF(E10=0,0,E9/E10)</f>
        <v>0.564844460926955</v>
      </c>
      <c r="F12" s="13" t="n">
        <f aca="false">IF(F10=0,0,F9/F10)</f>
        <v>0.549359118900644</v>
      </c>
      <c r="G12" s="13" t="n">
        <f aca="false">IF(G10=0,0,G9/G10)</f>
        <v>0.533938694581727</v>
      </c>
    </row>
    <row r="13" customFormat="false" ht="15" hidden="false" customHeight="false" outlineLevel="0" collapsed="false">
      <c r="A13" s="5" t="s">
        <v>97</v>
      </c>
      <c r="B13" s="13" t="n">
        <f aca="false">IF(B10=0,0,B5/B10)</f>
        <v>0.50194375</v>
      </c>
      <c r="C13" s="13" t="n">
        <f aca="false">IF(C10=0,0,C5/C10)</f>
        <v>0.483564821593931</v>
      </c>
      <c r="D13" s="13" t="n">
        <f aca="false">IF(D10=0,0,D5/D10)</f>
        <v>0.465144380212895</v>
      </c>
      <c r="E13" s="13" t="n">
        <f aca="false">IF(E10=0,0,E5/E10)</f>
        <v>0.446708233255509</v>
      </c>
      <c r="F13" s="13" t="n">
        <f aca="false">IF(F10=0,0,F5/F10)</f>
        <v>0.428285980249454</v>
      </c>
      <c r="G13" s="13" t="n">
        <f aca="false">IF(G10=0,0,G5/G10)</f>
        <v>0.409910829667247</v>
      </c>
    </row>
    <row r="15" customFormat="false" ht="15" hidden="false" customHeight="true" outlineLevel="0" collapsed="false">
      <c r="A15" s="30" t="s">
        <v>98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</sheetData>
  <mergeCells count="1">
    <mergeCell ref="A15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99</v>
      </c>
    </row>
    <row r="3" customFormat="false" ht="31.5" hidden="false" customHeight="true" outlineLevel="0" collapsed="false">
      <c r="A3" s="10" t="s">
        <v>100</v>
      </c>
      <c r="B3" s="10" t="s">
        <v>101</v>
      </c>
      <c r="C3" s="10" t="s">
        <v>102</v>
      </c>
      <c r="D3" s="10" t="s">
        <v>103</v>
      </c>
      <c r="E3" s="10" t="s">
        <v>104</v>
      </c>
      <c r="F3" s="10" t="s">
        <v>15</v>
      </c>
    </row>
    <row r="4" customFormat="false" ht="26.85" hidden="false" customHeight="false" outlineLevel="0" collapsed="false">
      <c r="A4" s="5" t="s">
        <v>105</v>
      </c>
      <c r="D4" s="8" t="n">
        <f aca="false">Допущения!C14</f>
        <v>0.859026745913819</v>
      </c>
    </row>
    <row r="6" customFormat="false" ht="15" hidden="false" customHeight="false" outlineLevel="0" collapsed="false">
      <c r="A6" s="5" t="s">
        <v>106</v>
      </c>
      <c r="B6" s="17" t="n">
        <v>0.171</v>
      </c>
      <c r="C6" s="6" t="n">
        <f aca="false">Допущения!$C$13*B6</f>
        <v>553.6125</v>
      </c>
      <c r="D6" s="31" t="n">
        <f aca="false">B6</f>
        <v>0.171</v>
      </c>
      <c r="E6" s="6" t="n">
        <f aca="false">Рынок!$G$37*$D$4*D6</f>
        <v>1108.75269316493</v>
      </c>
      <c r="F6" s="12" t="n">
        <f aca="false">IF(C6=0,0,E6/C6)</f>
        <v>2.00275949904479</v>
      </c>
    </row>
    <row r="7" customFormat="false" ht="15" hidden="false" customHeight="false" outlineLevel="0" collapsed="false">
      <c r="A7" s="5" t="s">
        <v>107</v>
      </c>
      <c r="B7" s="17" t="n">
        <v>0.124</v>
      </c>
      <c r="C7" s="6" t="n">
        <f aca="false">Допущения!$C$13*B7</f>
        <v>401.45</v>
      </c>
      <c r="D7" s="31" t="n">
        <f aca="false">B7</f>
        <v>0.124</v>
      </c>
      <c r="E7" s="6" t="n">
        <f aca="false">Рынок!$G$37*$D$4*D7</f>
        <v>804.00780089153</v>
      </c>
      <c r="F7" s="12" t="n">
        <f aca="false">IF(C7=0,0,E7/C7)</f>
        <v>2.00275949904479</v>
      </c>
    </row>
    <row r="8" customFormat="false" ht="15" hidden="false" customHeight="false" outlineLevel="0" collapsed="false">
      <c r="A8" s="5" t="s">
        <v>108</v>
      </c>
      <c r="B8" s="17" t="n">
        <v>0.121</v>
      </c>
      <c r="C8" s="6" t="n">
        <f aca="false">Допущения!$C$13*B8</f>
        <v>391.7375</v>
      </c>
      <c r="D8" s="31" t="n">
        <f aca="false">B8</f>
        <v>0.121</v>
      </c>
      <c r="E8" s="6" t="n">
        <f aca="false">Рынок!$G$37*$D$4*D8</f>
        <v>784.555999257058</v>
      </c>
      <c r="F8" s="12" t="n">
        <f aca="false">IF(C8=0,0,E8/C8)</f>
        <v>2.00275949904479</v>
      </c>
    </row>
    <row r="9" customFormat="false" ht="15" hidden="false" customHeight="false" outlineLevel="0" collapsed="false">
      <c r="A9" s="5" t="s">
        <v>109</v>
      </c>
      <c r="B9" s="17" t="n">
        <v>0.103</v>
      </c>
      <c r="C9" s="6" t="n">
        <f aca="false">Допущения!$C$13*B9</f>
        <v>333.4625</v>
      </c>
      <c r="D9" s="31" t="n">
        <f aca="false">B9</f>
        <v>0.103</v>
      </c>
      <c r="E9" s="6" t="n">
        <f aca="false">Рынок!$G$37*$D$4*D9</f>
        <v>667.845189450223</v>
      </c>
      <c r="F9" s="12" t="n">
        <f aca="false">IF(C9=0,0,E9/C9)</f>
        <v>2.00275949904479</v>
      </c>
    </row>
    <row r="10" customFormat="false" ht="15" hidden="false" customHeight="false" outlineLevel="0" collapsed="false">
      <c r="A10" s="5" t="s">
        <v>110</v>
      </c>
      <c r="B10" s="17" t="n">
        <v>0.074</v>
      </c>
      <c r="C10" s="6" t="n">
        <f aca="false">Допущения!$C$13*B10</f>
        <v>239.575</v>
      </c>
      <c r="D10" s="31" t="n">
        <f aca="false">B10</f>
        <v>0.074</v>
      </c>
      <c r="E10" s="6" t="n">
        <f aca="false">Рынок!$G$37*$D$4*D10</f>
        <v>479.811106983655</v>
      </c>
      <c r="F10" s="12" t="n">
        <f aca="false">IF(C10=0,0,E10/C10)</f>
        <v>2.00275949904479</v>
      </c>
    </row>
    <row r="11" customFormat="false" ht="15" hidden="false" customHeight="false" outlineLevel="0" collapsed="false">
      <c r="A11" s="5" t="s">
        <v>111</v>
      </c>
      <c r="B11" s="13" t="n">
        <f aca="false">1-SUM(B6:B10)</f>
        <v>0.407</v>
      </c>
      <c r="C11" s="6" t="n">
        <f aca="false">Допущения!$C$13*B11</f>
        <v>1317.6625</v>
      </c>
      <c r="D11" s="13" t="n">
        <f aca="false">1-SUM(D6:D10)</f>
        <v>0.407</v>
      </c>
      <c r="E11" s="6" t="n">
        <f aca="false">Рынок!$G$37*$D$4*D11</f>
        <v>2638.9610884101</v>
      </c>
      <c r="F11" s="12" t="n">
        <f aca="false">IF(C11=0,0,E11/C11)</f>
        <v>2.00275949904479</v>
      </c>
    </row>
    <row r="12" customFormat="false" ht="15" hidden="false" customHeight="false" outlineLevel="0" collapsed="false">
      <c r="A12" s="3" t="s">
        <v>112</v>
      </c>
      <c r="B12" s="32" t="n">
        <f aca="false">SUM(B6:B11)</f>
        <v>1</v>
      </c>
      <c r="C12" s="27" t="n">
        <f aca="false">SUM(C6:C11)</f>
        <v>3237.5</v>
      </c>
      <c r="D12" s="32" t="n">
        <f aca="false">SUM(D6:D11)</f>
        <v>1</v>
      </c>
      <c r="E12" s="27" t="n">
        <f aca="false">SUM(E6:E11)</f>
        <v>6483.9338781575</v>
      </c>
      <c r="F12" s="33" t="n">
        <f aca="false">IF(C12=0,0,E12/C12)</f>
        <v>2.00275949904479</v>
      </c>
    </row>
    <row r="14" customFormat="false" ht="15" hidden="false" customHeight="true" outlineLevel="0" collapsed="false">
      <c r="A14" s="30" t="s">
        <v>113</v>
      </c>
      <c r="B14" s="30"/>
      <c r="C14" s="30"/>
      <c r="D14" s="30"/>
      <c r="E14" s="30"/>
      <c r="F14" s="30"/>
    </row>
    <row r="15" customFormat="false" ht="15" hidden="false" customHeight="false" outlineLevel="0" collapsed="false">
      <c r="A15" s="30"/>
      <c r="B15" s="30"/>
      <c r="C15" s="30"/>
      <c r="D15" s="30"/>
      <c r="E15" s="30"/>
      <c r="F15" s="30"/>
    </row>
  </sheetData>
  <mergeCells count="1">
    <mergeCell ref="A14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6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26.85" hidden="false" customHeight="false" outlineLevel="0" collapsed="false">
      <c r="A4" s="10" t="s">
        <v>116</v>
      </c>
      <c r="B4" s="10" t="s">
        <v>117</v>
      </c>
      <c r="C4" s="10" t="s">
        <v>24</v>
      </c>
      <c r="D4" s="10" t="s">
        <v>25</v>
      </c>
    </row>
    <row r="5" customFormat="false" ht="15" hidden="false" customHeight="false" outlineLevel="0" collapsed="false">
      <c r="A5" s="8" t="n">
        <f aca="false">Допущения!C35</f>
        <v>0.2</v>
      </c>
      <c r="B5" s="6" t="n">
        <f aca="false">$A5*Рынок!$G$7</f>
        <v>1220.2512168</v>
      </c>
      <c r="C5" s="6" t="n">
        <f aca="false">$A5*Рынок!$G$17</f>
        <v>1509.6</v>
      </c>
      <c r="D5" s="6" t="n">
        <f aca="false">$A5*Рынок!$G$27</f>
        <v>1733.38829717222</v>
      </c>
    </row>
    <row r="6" customFormat="false" ht="15" hidden="false" customHeight="false" outlineLevel="0" collapsed="false">
      <c r="A6" s="8" t="n">
        <f aca="false">Допущения!C36</f>
        <v>0.3</v>
      </c>
      <c r="B6" s="6" t="n">
        <f aca="false">$A6*Рынок!$G$7</f>
        <v>1830.3768252</v>
      </c>
      <c r="C6" s="6" t="n">
        <f aca="false">$A6*Рынок!$G$17</f>
        <v>2264.4</v>
      </c>
      <c r="D6" s="6" t="n">
        <f aca="false">$A6*Рынок!$G$27</f>
        <v>2600.08244575834</v>
      </c>
    </row>
    <row r="7" customFormat="false" ht="15" hidden="false" customHeight="false" outlineLevel="0" collapsed="false">
      <c r="A7" s="8" t="n">
        <f aca="false">Допущения!C37</f>
        <v>0.4</v>
      </c>
      <c r="B7" s="6" t="n">
        <f aca="false">$A7*Рынок!$G$7</f>
        <v>2440.5024336</v>
      </c>
      <c r="C7" s="6" t="n">
        <f aca="false">$A7*Рынок!$G$17</f>
        <v>3019.2</v>
      </c>
      <c r="D7" s="6" t="n">
        <f aca="false">$A7*Рынок!$G$27</f>
        <v>3466.77659434445</v>
      </c>
    </row>
    <row r="9" customFormat="false" ht="26.85" hidden="false" customHeight="false" outlineLevel="0" collapsed="false">
      <c r="A9" s="3" t="s">
        <v>118</v>
      </c>
    </row>
    <row r="10" customFormat="false" ht="15" hidden="false" customHeight="false" outlineLevel="0" collapsed="false">
      <c r="A10" s="8" t="n">
        <f aca="false">Допущения!C35</f>
        <v>0.2</v>
      </c>
      <c r="B10" s="6" t="n">
        <f aca="false">$A10*Рынок!$B$37</f>
        <v>757.68</v>
      </c>
    </row>
    <row r="11" customFormat="false" ht="15" hidden="false" customHeight="false" outlineLevel="0" collapsed="false">
      <c r="A11" s="8" t="n">
        <f aca="false">Допущения!C36</f>
        <v>0.3</v>
      </c>
      <c r="B11" s="6" t="n">
        <f aca="false">$A11*Рынок!$B$37</f>
        <v>1136.52</v>
      </c>
    </row>
    <row r="12" customFormat="false" ht="15" hidden="false" customHeight="false" outlineLevel="0" collapsed="false">
      <c r="A12" s="8" t="n">
        <f aca="false">Допущения!C37</f>
        <v>0.4</v>
      </c>
      <c r="B12" s="6" t="n">
        <f aca="false">$A12*Рынок!$B$37</f>
        <v>1515.36</v>
      </c>
    </row>
    <row r="14" customFormat="false" ht="15" hidden="false" customHeight="true" outlineLevel="0" collapsed="false">
      <c r="A14" s="30" t="s">
        <v>119</v>
      </c>
      <c r="B14" s="30"/>
      <c r="C14" s="30"/>
      <c r="D14" s="30"/>
    </row>
    <row r="15" customFormat="false" ht="15" hidden="false" customHeight="false" outlineLevel="0" collapsed="false">
      <c r="A15" s="30"/>
      <c r="B15" s="30"/>
      <c r="C15" s="30"/>
      <c r="D15" s="30"/>
    </row>
    <row r="16" customFormat="false" ht="15" hidden="false" customHeight="false" outlineLevel="0" collapsed="false">
      <c r="A16" s="30"/>
      <c r="B16" s="30"/>
      <c r="C16" s="30"/>
      <c r="D16" s="30"/>
    </row>
  </sheetData>
  <mergeCells count="1">
    <mergeCell ref="A14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120</v>
      </c>
    </row>
    <row r="3" customFormat="false" ht="26.85" hidden="false" customHeight="false" outlineLevel="0" collapsed="false">
      <c r="A3" s="10" t="s">
        <v>121</v>
      </c>
      <c r="B3" s="10" t="s">
        <v>122</v>
      </c>
      <c r="C3" s="10" t="s">
        <v>123</v>
      </c>
      <c r="D3" s="10" t="s">
        <v>124</v>
      </c>
    </row>
    <row r="4" customFormat="false" ht="15" hidden="false" customHeight="false" outlineLevel="0" collapsed="false">
      <c r="A4" s="14" t="s">
        <v>125</v>
      </c>
      <c r="B4" s="18" t="n">
        <v>482</v>
      </c>
      <c r="C4" s="14" t="s">
        <v>126</v>
      </c>
      <c r="D4" s="17" t="n">
        <v>0.036</v>
      </c>
    </row>
    <row r="5" customFormat="false" ht="15" hidden="false" customHeight="false" outlineLevel="0" collapsed="false">
      <c r="A5" s="14" t="s">
        <v>127</v>
      </c>
      <c r="B5" s="18" t="n">
        <v>1963.5</v>
      </c>
      <c r="C5" s="14" t="s">
        <v>128</v>
      </c>
      <c r="D5" s="17" t="n">
        <v>0.125</v>
      </c>
    </row>
    <row r="6" customFormat="false" ht="15" hidden="false" customHeight="false" outlineLevel="0" collapsed="false">
      <c r="A6" s="14" t="s">
        <v>129</v>
      </c>
      <c r="B6" s="18" t="n">
        <v>2439.8</v>
      </c>
      <c r="C6" s="13" t="n">
        <f aca="false">B6/B5-1</f>
        <v>0.242577030812325</v>
      </c>
      <c r="D6" s="17" t="n">
        <v>0.127</v>
      </c>
    </row>
    <row r="7" customFormat="false" ht="15" hidden="false" customHeight="false" outlineLevel="0" collapsed="false">
      <c r="A7" s="14" t="s">
        <v>130</v>
      </c>
      <c r="B7" s="18" t="n">
        <v>3156.4</v>
      </c>
      <c r="C7" s="13" t="n">
        <f aca="false">B7/B6-1</f>
        <v>0.293712599393393</v>
      </c>
      <c r="D7" s="17" t="n">
        <v>0.141</v>
      </c>
    </row>
    <row r="8" customFormat="false" ht="15" hidden="false" customHeight="false" outlineLevel="0" collapsed="false">
      <c r="A8" s="14" t="s">
        <v>131</v>
      </c>
      <c r="B8" s="18" t="n">
        <v>3768.8</v>
      </c>
      <c r="C8" s="13" t="n">
        <f aca="false">B8/B7-1</f>
        <v>0.19401850209099</v>
      </c>
      <c r="D8" s="17" t="n">
        <v>0.143</v>
      </c>
    </row>
    <row r="10" customFormat="false" ht="15" hidden="false" customHeight="false" outlineLevel="0" collapsed="false">
      <c r="A10" s="2" t="s">
        <v>132</v>
      </c>
    </row>
    <row r="12" customFormat="false" ht="15" hidden="false" customHeight="false" outlineLevel="0" collapsed="false">
      <c r="A12" s="29" t="s">
        <v>133</v>
      </c>
    </row>
    <row r="13" customFormat="false" ht="26.85" hidden="false" customHeight="false" outlineLevel="0" collapsed="false">
      <c r="A13" s="10" t="s">
        <v>134</v>
      </c>
      <c r="B13" s="10" t="s">
        <v>135</v>
      </c>
      <c r="C13" s="10" t="s">
        <v>136</v>
      </c>
      <c r="D13" s="10" t="s">
        <v>137</v>
      </c>
    </row>
    <row r="14" customFormat="false" ht="15" hidden="false" customHeight="false" outlineLevel="0" collapsed="false">
      <c r="A14" s="14" t="s">
        <v>138</v>
      </c>
      <c r="B14" s="18" t="n">
        <v>3768.8</v>
      </c>
      <c r="C14" s="17" t="n">
        <v>0.19</v>
      </c>
      <c r="D14" s="14" t="s">
        <v>139</v>
      </c>
    </row>
    <row r="15" customFormat="false" ht="15" hidden="false" customHeight="false" outlineLevel="0" collapsed="false">
      <c r="A15" s="14" t="s">
        <v>140</v>
      </c>
      <c r="B15" s="18" t="n">
        <v>4920</v>
      </c>
      <c r="C15" s="17" t="n">
        <v>0.25</v>
      </c>
      <c r="D15" s="14" t="s">
        <v>141</v>
      </c>
    </row>
    <row r="16" customFormat="false" ht="15" hidden="false" customHeight="false" outlineLevel="0" collapsed="false">
      <c r="A16" s="14" t="s">
        <v>142</v>
      </c>
      <c r="B16" s="18" t="n">
        <v>4313</v>
      </c>
      <c r="C16" s="17" t="n">
        <v>0.127</v>
      </c>
      <c r="D16" s="14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144</v>
      </c>
    </row>
    <row r="3" customFormat="false" ht="26.85" hidden="false" customHeight="false" outlineLevel="0" collapsed="false">
      <c r="A3" s="10" t="s">
        <v>12</v>
      </c>
      <c r="B3" s="10" t="s">
        <v>145</v>
      </c>
      <c r="C3" s="10" t="s">
        <v>146</v>
      </c>
      <c r="D3" s="10" t="s">
        <v>147</v>
      </c>
      <c r="E3" s="10" t="s">
        <v>148</v>
      </c>
    </row>
    <row r="4" customFormat="false" ht="39.55" hidden="false" customHeight="false" outlineLevel="0" collapsed="false">
      <c r="A4" s="34" t="s">
        <v>149</v>
      </c>
      <c r="B4" s="35" t="s">
        <v>150</v>
      </c>
      <c r="C4" s="35" t="s">
        <v>151</v>
      </c>
      <c r="D4" s="35" t="s">
        <v>152</v>
      </c>
      <c r="E4" s="35" t="s">
        <v>153</v>
      </c>
    </row>
    <row r="5" customFormat="false" ht="52.2" hidden="false" customHeight="false" outlineLevel="0" collapsed="false">
      <c r="A5" s="34" t="s">
        <v>55</v>
      </c>
      <c r="B5" s="35" t="s">
        <v>154</v>
      </c>
      <c r="C5" s="35" t="s">
        <v>155</v>
      </c>
      <c r="D5" s="35" t="s">
        <v>156</v>
      </c>
      <c r="E5" s="35" t="s">
        <v>157</v>
      </c>
    </row>
    <row r="6" customFormat="false" ht="39.55" hidden="false" customHeight="false" outlineLevel="0" collapsed="false">
      <c r="A6" s="34" t="s">
        <v>56</v>
      </c>
      <c r="B6" s="35" t="s">
        <v>158</v>
      </c>
      <c r="C6" s="35" t="s">
        <v>155</v>
      </c>
      <c r="D6" s="35" t="s">
        <v>159</v>
      </c>
      <c r="E6" s="35" t="s">
        <v>160</v>
      </c>
    </row>
    <row r="7" customFormat="false" ht="26.85" hidden="false" customHeight="false" outlineLevel="0" collapsed="false">
      <c r="A7" s="34" t="s">
        <v>57</v>
      </c>
      <c r="B7" s="35" t="s">
        <v>161</v>
      </c>
      <c r="C7" s="35" t="s">
        <v>162</v>
      </c>
      <c r="D7" s="35" t="s">
        <v>126</v>
      </c>
      <c r="E7" s="35" t="s">
        <v>163</v>
      </c>
    </row>
    <row r="8" customFormat="false" ht="26.85" hidden="false" customHeight="false" outlineLevel="0" collapsed="false">
      <c r="A8" s="34" t="s">
        <v>164</v>
      </c>
      <c r="B8" s="35" t="s">
        <v>165</v>
      </c>
      <c r="C8" s="35" t="s">
        <v>166</v>
      </c>
      <c r="D8" s="35" t="s">
        <v>167</v>
      </c>
      <c r="E8" s="35" t="s">
        <v>168</v>
      </c>
    </row>
    <row r="9" customFormat="false" ht="15" hidden="false" customHeight="false" outlineLevel="0" collapsed="false">
      <c r="A9" s="34" t="s">
        <v>169</v>
      </c>
      <c r="B9" s="35" t="s">
        <v>170</v>
      </c>
      <c r="C9" s="35" t="s">
        <v>126</v>
      </c>
      <c r="D9" s="35" t="s">
        <v>126</v>
      </c>
      <c r="E9" s="35" t="s">
        <v>171</v>
      </c>
    </row>
    <row r="10" customFormat="false" ht="39.55" hidden="false" customHeight="false" outlineLevel="0" collapsed="false">
      <c r="A10" s="34" t="s">
        <v>172</v>
      </c>
      <c r="B10" s="35" t="s">
        <v>173</v>
      </c>
      <c r="C10" s="35" t="s">
        <v>174</v>
      </c>
      <c r="D10" s="35" t="s">
        <v>175</v>
      </c>
      <c r="E10" s="3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176</v>
      </c>
    </row>
    <row r="3" customFormat="false" ht="15" hidden="false" customHeight="false" outlineLevel="0" collapsed="false">
      <c r="A3" s="10" t="s">
        <v>134</v>
      </c>
      <c r="B3" s="10" t="s">
        <v>177</v>
      </c>
    </row>
    <row r="4" customFormat="false" ht="15" hidden="false" customHeight="false" outlineLevel="0" collapsed="false">
      <c r="A4" s="22" t="s">
        <v>178</v>
      </c>
      <c r="B4" s="36" t="s">
        <v>179</v>
      </c>
    </row>
    <row r="5" customFormat="false" ht="15" hidden="false" customHeight="false" outlineLevel="0" collapsed="false">
      <c r="A5" s="22" t="s">
        <v>180</v>
      </c>
      <c r="B5" s="36" t="s">
        <v>181</v>
      </c>
    </row>
    <row r="6" customFormat="false" ht="15" hidden="false" customHeight="false" outlineLevel="0" collapsed="false">
      <c r="A6" s="22" t="s">
        <v>182</v>
      </c>
      <c r="B6" s="36" t="s">
        <v>183</v>
      </c>
    </row>
    <row r="7" customFormat="false" ht="15" hidden="false" customHeight="false" outlineLevel="0" collapsed="false">
      <c r="A7" s="22" t="s">
        <v>184</v>
      </c>
      <c r="B7" s="36" t="s">
        <v>185</v>
      </c>
    </row>
    <row r="8" customFormat="false" ht="15" hidden="false" customHeight="false" outlineLevel="0" collapsed="false">
      <c r="A8" s="22" t="s">
        <v>186</v>
      </c>
      <c r="B8" s="36" t="s">
        <v>187</v>
      </c>
    </row>
    <row r="9" customFormat="false" ht="15" hidden="false" customHeight="false" outlineLevel="0" collapsed="false">
      <c r="A9" s="22" t="s">
        <v>188</v>
      </c>
      <c r="B9" s="36" t="s">
        <v>189</v>
      </c>
    </row>
    <row r="10" customFormat="false" ht="15" hidden="false" customHeight="false" outlineLevel="0" collapsed="false">
      <c r="A10" s="22" t="s">
        <v>190</v>
      </c>
      <c r="B10" s="36" t="s">
        <v>191</v>
      </c>
    </row>
    <row r="11" customFormat="false" ht="15" hidden="false" customHeight="false" outlineLevel="0" collapsed="false">
      <c r="A11" s="22" t="s">
        <v>192</v>
      </c>
      <c r="B11" s="36" t="s">
        <v>193</v>
      </c>
    </row>
    <row r="12" customFormat="false" ht="15" hidden="false" customHeight="false" outlineLevel="0" collapsed="false">
      <c r="A12" s="22" t="s">
        <v>194</v>
      </c>
      <c r="B12" s="36" t="s">
        <v>195</v>
      </c>
    </row>
    <row r="13" customFormat="false" ht="15" hidden="false" customHeight="false" outlineLevel="0" collapsed="false">
      <c r="A13" s="22" t="s">
        <v>196</v>
      </c>
      <c r="B13" s="36" t="s">
        <v>197</v>
      </c>
    </row>
    <row r="14" customFormat="false" ht="14.15" hidden="false" customHeight="false" outlineLevel="0" collapsed="false">
      <c r="A14" s="22" t="s">
        <v>198</v>
      </c>
      <c r="B14" s="36" t="s">
        <v>199</v>
      </c>
    </row>
    <row r="15" customFormat="false" ht="15" hidden="false" customHeight="false" outlineLevel="0" collapsed="false">
      <c r="A15" s="22" t="s">
        <v>200</v>
      </c>
      <c r="B15" s="22"/>
    </row>
  </sheetData>
  <hyperlinks>
    <hyperlink ref="B4" r:id="rId1" display="https://stat.gov.kz/ru/industries/economy/local-market/publications/346330/"/>
    <hyperlink ref="B5" r:id="rId2" display="https://www.mastercard.com/content/dam/mccom/eeu/kazakhstan/documents/20260909_KZ_eCom_CAFS_Short.pdf"/>
    <hyperlink ref="B6" r:id="rId3" display="https://kapital.kz/economic/152916/k-2030-godu-obuem-e-commerce-v-kazahstane-mozhet-dostich-11-trln-tenge.html"/>
    <hyperlink ref="B7" r:id="rId4" display="https://bakertilly-ca.com/wp-content/uploads/2026/09/e-commerce-market-review-of-kazakhstan-2026-presentation..pdf"/>
    <hyperlink ref="B8" r:id="rId5" display="https://forbes.kz/articles/50-krupneyshih-torgovyh-internet-ploshadok-kazahstana-2026"/>
    <hyperlink ref="B9" r:id="rId6" display="https://ir.kaspi.kz/media/4Q__FY_2025_Financial_Results_.pdf"/>
    <hyperlink ref="B10" r:id="rId7" display="https://ir.kaspi.kz/media/2Q_2026_Results.pdf"/>
    <hyperlink ref="B11" r:id="rId8" display="https://inbusiness.kz/ru/last/pochti-300-mln-zakazov-sdelali-kazahstancy-na-marketplejsah-v-2025-godu"/>
    <hyperlink ref="B12" r:id="rId9" display="https://repost.news/news/134770-wildberriec_postroit_v_kazakhstane_sklady_na_260_tysjach_kvadratnyh_metrov_za_100_millionov"/>
    <hyperlink ref="B13" r:id="rId10" display="https://lsm.kz/zakreditovannost-mery-arrfr"/>
    <hyperlink ref="B14" r:id="rId11" display="https://kz.kursiv.media/2026-06-06/svvo-chto-izmenitsya-dlya-pokupatelei-aliexpress-temu-i-iherb-v-kazahstan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2026-10-14T06:50:07Z</dcterms:created>
  <dc:creator>openpyxl</dc:creator>
  <dc:description/>
  <dc:language>en-US</dc:language>
  <cp:lastModifiedBy/>
  <dcterms:modified xsi:type="dcterms:W3CDTF">2026-10-14T06:50:10Z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